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testingstuff\testing\"/>
    </mc:Choice>
  </mc:AlternateContent>
  <xr:revisionPtr revIDLastSave="0" documentId="13_ncr:1_{207E2881-AFDD-48E7-9D85-4B7FD45A2C01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cer" sheetId="8" r:id="rId1"/>
    <sheet name="wer" sheetId="7" r:id="rId2"/>
    <sheet name="HunDys" sheetId="1" r:id="rId3"/>
    <sheet name="Eredmeny" sheetId="9" r:id="rId4"/>
  </sheets>
  <definedNames>
    <definedName name="ExternalData_1" localSheetId="1" hidden="1">wer!$A$1:$AF$15</definedName>
    <definedName name="ExternalData_2" localSheetId="0" hidden="1">cer!$A$1:$AF$15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5" i="9" l="1"/>
  <c r="R44" i="9"/>
  <c r="R43" i="9"/>
  <c r="R42" i="9"/>
  <c r="T50" i="9"/>
  <c r="R37" i="9"/>
  <c r="AV33" i="9"/>
  <c r="AV34" i="9"/>
  <c r="AV35" i="9"/>
  <c r="AV36" i="9"/>
  <c r="AV37" i="9"/>
  <c r="AV38" i="9"/>
  <c r="AV39" i="9"/>
  <c r="AV40" i="9"/>
  <c r="AV41" i="9"/>
  <c r="AV42" i="9"/>
  <c r="AV43" i="9"/>
  <c r="AV44" i="9"/>
  <c r="AV45" i="9"/>
  <c r="AV32" i="9"/>
  <c r="V32" i="9"/>
  <c r="U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AJ32" i="9"/>
  <c r="AK32" i="9"/>
  <c r="AL32" i="9"/>
  <c r="AM32" i="9"/>
  <c r="AN32" i="9"/>
  <c r="AO32" i="9"/>
  <c r="AP32" i="9"/>
  <c r="AQ32" i="9"/>
  <c r="AR32" i="9"/>
  <c r="AS32" i="9"/>
  <c r="AT32" i="9"/>
  <c r="AU32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AJ33" i="9"/>
  <c r="AK33" i="9"/>
  <c r="AL33" i="9"/>
  <c r="AM33" i="9"/>
  <c r="AN33" i="9"/>
  <c r="AO33" i="9"/>
  <c r="AP33" i="9"/>
  <c r="AQ33" i="9"/>
  <c r="AR33" i="9"/>
  <c r="AS33" i="9"/>
  <c r="AT33" i="9"/>
  <c r="AU33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AJ34" i="9"/>
  <c r="AK34" i="9"/>
  <c r="AL34" i="9"/>
  <c r="AM34" i="9"/>
  <c r="AN34" i="9"/>
  <c r="AO34" i="9"/>
  <c r="AP34" i="9"/>
  <c r="AQ34" i="9"/>
  <c r="AR34" i="9"/>
  <c r="AS34" i="9"/>
  <c r="AT34" i="9"/>
  <c r="AU34" i="9"/>
  <c r="U35" i="9"/>
  <c r="V35" i="9"/>
  <c r="W35" i="9"/>
  <c r="X35" i="9"/>
  <c r="Y35" i="9"/>
  <c r="Z35" i="9"/>
  <c r="AA35" i="9"/>
  <c r="AB35" i="9"/>
  <c r="AC35" i="9"/>
  <c r="AD35" i="9"/>
  <c r="AE35" i="9"/>
  <c r="AF35" i="9"/>
  <c r="AG35" i="9"/>
  <c r="AH35" i="9"/>
  <c r="AI35" i="9"/>
  <c r="AJ35" i="9"/>
  <c r="AK35" i="9"/>
  <c r="AL35" i="9"/>
  <c r="AM35" i="9"/>
  <c r="AN35" i="9"/>
  <c r="AO35" i="9"/>
  <c r="AP35" i="9"/>
  <c r="AQ35" i="9"/>
  <c r="AR35" i="9"/>
  <c r="AS35" i="9"/>
  <c r="AT35" i="9"/>
  <c r="AU35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AJ36" i="9"/>
  <c r="AK36" i="9"/>
  <c r="AL36" i="9"/>
  <c r="AM36" i="9"/>
  <c r="AN36" i="9"/>
  <c r="AO36" i="9"/>
  <c r="AP36" i="9"/>
  <c r="AQ36" i="9"/>
  <c r="AR36" i="9"/>
  <c r="AS36" i="9"/>
  <c r="AT36" i="9"/>
  <c r="AU36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AJ37" i="9"/>
  <c r="AK37" i="9"/>
  <c r="AL37" i="9"/>
  <c r="AM37" i="9"/>
  <c r="AN37" i="9"/>
  <c r="AO37" i="9"/>
  <c r="AP37" i="9"/>
  <c r="AQ37" i="9"/>
  <c r="AR37" i="9"/>
  <c r="AS37" i="9"/>
  <c r="AT37" i="9"/>
  <c r="AU37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AJ38" i="9"/>
  <c r="AK38" i="9"/>
  <c r="AL38" i="9"/>
  <c r="AM38" i="9"/>
  <c r="AN38" i="9"/>
  <c r="AO38" i="9"/>
  <c r="AP38" i="9"/>
  <c r="AQ38" i="9"/>
  <c r="AR38" i="9"/>
  <c r="AS38" i="9"/>
  <c r="AT38" i="9"/>
  <c r="AU38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AJ40" i="9"/>
  <c r="AK40" i="9"/>
  <c r="AL40" i="9"/>
  <c r="AM40" i="9"/>
  <c r="AN40" i="9"/>
  <c r="AO40" i="9"/>
  <c r="AP40" i="9"/>
  <c r="AQ40" i="9"/>
  <c r="AR40" i="9"/>
  <c r="AS40" i="9"/>
  <c r="AT40" i="9"/>
  <c r="AU40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AJ41" i="9"/>
  <c r="AK41" i="9"/>
  <c r="AL41" i="9"/>
  <c r="AM41" i="9"/>
  <c r="AN41" i="9"/>
  <c r="AO41" i="9"/>
  <c r="AP41" i="9"/>
  <c r="AQ41" i="9"/>
  <c r="AR41" i="9"/>
  <c r="AS41" i="9"/>
  <c r="AT41" i="9"/>
  <c r="AU41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AJ42" i="9"/>
  <c r="AK42" i="9"/>
  <c r="AL42" i="9"/>
  <c r="AM42" i="9"/>
  <c r="AN42" i="9"/>
  <c r="AO42" i="9"/>
  <c r="AP42" i="9"/>
  <c r="AQ42" i="9"/>
  <c r="AR42" i="9"/>
  <c r="AS42" i="9"/>
  <c r="AT42" i="9"/>
  <c r="AU42" i="9"/>
  <c r="U43" i="9"/>
  <c r="V43" i="9"/>
  <c r="W43" i="9"/>
  <c r="X43" i="9"/>
  <c r="Y43" i="9"/>
  <c r="Z43" i="9"/>
  <c r="AA43" i="9"/>
  <c r="AB43" i="9"/>
  <c r="AC43" i="9"/>
  <c r="AD43" i="9"/>
  <c r="AE43" i="9"/>
  <c r="AF43" i="9"/>
  <c r="AG43" i="9"/>
  <c r="AH43" i="9"/>
  <c r="AI43" i="9"/>
  <c r="AJ43" i="9"/>
  <c r="AK43" i="9"/>
  <c r="AL43" i="9"/>
  <c r="AM43" i="9"/>
  <c r="AN43" i="9"/>
  <c r="AO43" i="9"/>
  <c r="AP43" i="9"/>
  <c r="AQ43" i="9"/>
  <c r="AR43" i="9"/>
  <c r="AS43" i="9"/>
  <c r="AT43" i="9"/>
  <c r="AU43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AJ44" i="9"/>
  <c r="AK44" i="9"/>
  <c r="AL44" i="9"/>
  <c r="AM44" i="9"/>
  <c r="AN44" i="9"/>
  <c r="AO44" i="9"/>
  <c r="AP44" i="9"/>
  <c r="AQ44" i="9"/>
  <c r="AR44" i="9"/>
  <c r="AS44" i="9"/>
  <c r="AT44" i="9"/>
  <c r="AU44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AJ45" i="9"/>
  <c r="AK45" i="9"/>
  <c r="AL45" i="9"/>
  <c r="AM45" i="9"/>
  <c r="AN45" i="9"/>
  <c r="AO45" i="9"/>
  <c r="AP45" i="9"/>
  <c r="AQ45" i="9"/>
  <c r="AR45" i="9"/>
  <c r="AS45" i="9"/>
  <c r="AT45" i="9"/>
  <c r="AU45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AJ46" i="9"/>
  <c r="AK46" i="9"/>
  <c r="AL46" i="9"/>
  <c r="AM46" i="9"/>
  <c r="AN46" i="9"/>
  <c r="AO46" i="9"/>
  <c r="AP46" i="9"/>
  <c r="AQ46" i="9"/>
  <c r="AR46" i="9"/>
  <c r="AS46" i="9"/>
  <c r="AT46" i="9"/>
  <c r="AU46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32" i="9"/>
  <c r="R38" i="9" s="1"/>
  <c r="Y50" i="9" l="1"/>
  <c r="X50" i="9"/>
  <c r="R40" i="9"/>
  <c r="R39" i="9"/>
  <c r="AB50" i="9"/>
  <c r="AA50" i="9"/>
  <c r="Z50" i="9"/>
  <c r="W50" i="9"/>
  <c r="U50" i="9"/>
  <c r="V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F93D3B-CADD-4179-8F1D-5CD6F39C2BD6}" keepAlive="1" name="Lekérdezés - cer_counts" description="A munkafüzetben levő „cer_counts” lekérdezés kapcsolata" type="5" refreshedVersion="8" background="1" saveData="1">
    <dbPr connection="Provider=Microsoft.Mashup.OleDb.1;Data Source=$Workbook$;Location=cer_counts;Extended Properties=&quot;&quot;" command="SELECT * FROM [cer_counts]"/>
  </connection>
  <connection id="2" xr16:uid="{F22DCD6A-8612-41B1-AFA5-825AAD1EB344}" keepAlive="1" name="Lekérdezés - cer_counts (2)" description="A munkafüzetben levő „cer_counts (2)” lekérdezés kapcsolata" type="5" refreshedVersion="0" background="1">
    <dbPr connection="Provider=Microsoft.Mashup.OleDb.1;Data Source=$Workbook$;Location=&quot;cer_counts (2)&quot;;Extended Properties=&quot;&quot;" command="SELECT * FROM [cer_counts (2)]"/>
  </connection>
  <connection id="3" xr16:uid="{DD9574BD-691F-41AE-B7AE-C4DDF72DFC43}" keepAlive="1" name="Lekérdezés - cer_counts (3)" description="A munkafüzetben levő „cer_counts (3)” lekérdezés kapcsolata" type="5" refreshedVersion="8" background="1" saveData="1">
    <dbPr connection="Provider=Microsoft.Mashup.OleDb.1;Data Source=$Workbook$;Location=&quot;cer_counts (3)&quot;;Extended Properties=&quot;&quot;" command="SELECT * FROM [cer_counts (3)]"/>
  </connection>
  <connection id="4" xr16:uid="{27E4E945-47C1-49C7-95C1-26742A60A872}" keepAlive="1" name="Lekérdezés - wer_counts (2)" description="A munkafüzetben levő „wer_counts (2)” lekérdezés kapcsolata" type="5" refreshedVersion="8" background="1" saveData="1">
    <dbPr connection="Provider=Microsoft.Mashup.OleDb.1;Data Source=$Workbook$;Location=&quot;wer_counts (2)&quot;;Extended Properties=&quot;&quot;" command="SELECT * FROM [wer_counts (2)]"/>
  </connection>
  <connection id="5" xr16:uid="{CD76ECB0-06DB-4B5D-9B39-5D11D3138637}" keepAlive="1" name="Lekérdezés - wer_counts (3)" description="A munkafüzetben levő „wer_counts (3)” lekérdezés kapcsolata" type="5" refreshedVersion="0" background="1">
    <dbPr connection="Provider=Microsoft.Mashup.OleDb.1;Data Source=$Workbook$;Location=&quot;wer_counts (3)&quot;;Extended Properties=&quot;&quot;" command="SELECT * FROM [wer_counts (3)]"/>
  </connection>
  <connection id="6" xr16:uid="{24CCE2D1-1B2A-4395-86E9-DA03F34ED0E9}" keepAlive="1" name="Lekérdezés - wer_counts (4)" description="A munkafüzetben levő „wer_counts (4)” lekérdezés kapcsolata" type="5" refreshedVersion="8" background="1" saveData="1">
    <dbPr connection="Provider=Microsoft.Mashup.OleDb.1;Data Source=$Workbook$;Location=&quot;wer_counts (4)&quot;;Extended Properties=&quot;&quot;" command="SELECT * FROM [wer_counts (4)]"/>
  </connection>
</connections>
</file>

<file path=xl/sharedStrings.xml><?xml version="1.0" encoding="utf-8"?>
<sst xmlns="http://schemas.openxmlformats.org/spreadsheetml/2006/main" count="2851" uniqueCount="1178">
  <si>
    <t>id</t>
  </si>
  <si>
    <t>diagnosis</t>
  </si>
  <si>
    <t>sex</t>
  </si>
  <si>
    <t>age</t>
  </si>
  <si>
    <t>smoking</t>
  </si>
  <si>
    <t>cold</t>
  </si>
  <si>
    <t>Lívia</t>
  </si>
  <si>
    <t>C_010</t>
  </si>
  <si>
    <t>dysarthria</t>
  </si>
  <si>
    <t>64.0000</t>
  </si>
  <si>
    <t>no</t>
  </si>
  <si>
    <t>Enyhe</t>
  </si>
  <si>
    <t>C_016</t>
  </si>
  <si>
    <t>dysarthria, stroke</t>
  </si>
  <si>
    <t>male</t>
  </si>
  <si>
    <t>40.0000</t>
  </si>
  <si>
    <t>C_018</t>
  </si>
  <si>
    <t>dysarthria (stroke)</t>
  </si>
  <si>
    <t>66.0000</t>
  </si>
  <si>
    <t>mild</t>
  </si>
  <si>
    <t>C_026</t>
  </si>
  <si>
    <t>female</t>
  </si>
  <si>
    <t>70.0000</t>
  </si>
  <si>
    <t>Középsúlyos</t>
  </si>
  <si>
    <t>C_027</t>
  </si>
  <si>
    <t>yes</t>
  </si>
  <si>
    <t>Control</t>
  </si>
  <si>
    <t>C_029</t>
  </si>
  <si>
    <t>33.0000</t>
  </si>
  <si>
    <t>C_031</t>
  </si>
  <si>
    <t>39.0000</t>
  </si>
  <si>
    <t>Súlyos</t>
  </si>
  <si>
    <t>C_033</t>
  </si>
  <si>
    <t>C_036</t>
  </si>
  <si>
    <t>46.0000</t>
  </si>
  <si>
    <t>C_040</t>
  </si>
  <si>
    <t>36.0000</t>
  </si>
  <si>
    <t>C_041</t>
  </si>
  <si>
    <t>29.0000</t>
  </si>
  <si>
    <t>C_042</t>
  </si>
  <si>
    <t>49.0000</t>
  </si>
  <si>
    <t>C_043</t>
  </si>
  <si>
    <t>52.0000</t>
  </si>
  <si>
    <t>C_048</t>
  </si>
  <si>
    <t>42.0000</t>
  </si>
  <si>
    <t>WER</t>
  </si>
  <si>
    <t>openai/whisper-large-v3</t>
  </si>
  <si>
    <t>preprocessed (RnV)</t>
  </si>
  <si>
    <t>Urhythmic(Global)</t>
  </si>
  <si>
    <t>Urhythmic(Fine)</t>
  </si>
  <si>
    <t>Syllable(Global)</t>
  </si>
  <si>
    <t>Syllable(Fine)</t>
  </si>
  <si>
    <t>kNN-VC</t>
  </si>
  <si>
    <t>Urhythmic(Global)+kNN-VC</t>
  </si>
  <si>
    <t>Urhythmic(Fine)+kNN-VC</t>
  </si>
  <si>
    <t>Syllable(Global)+kNN-VC</t>
  </si>
  <si>
    <t>Syllable(Fine)+kNN-VC</t>
  </si>
  <si>
    <t>BEAST2</t>
  </si>
  <si>
    <t>facebook/mms-1b-fl102</t>
  </si>
  <si>
    <t>CER</t>
  </si>
  <si>
    <t>0.7647412755716004</t>
  </si>
  <si>
    <t>0.5125003338630267</t>
  </si>
  <si>
    <t>0.8164861612515042</t>
  </si>
  <si>
    <t>0.5068000912234674</t>
  </si>
  <si>
    <t>0.9229843561973526</t>
  </si>
  <si>
    <t>0.689387430286953</t>
  </si>
  <si>
    <t>0.7773766546329723</t>
  </si>
  <si>
    <t>0.6726696270707536</t>
  </si>
  <si>
    <t>0.9290012033694344</t>
  </si>
  <si>
    <t>0.5130988257928435</t>
  </si>
  <si>
    <t>0.8237063778580024</t>
  </si>
  <si>
    <t>0.7228590643561988</t>
  </si>
  <si>
    <t>0.9308062575210589</t>
  </si>
  <si>
    <t>0.5116227845246815</t>
  </si>
  <si>
    <t>0.8128760529482552</t>
  </si>
  <si>
    <t>0.5265277139347011</t>
  </si>
  <si>
    <t>0.8285198555956679</t>
  </si>
  <si>
    <t>0.7435245803762354</t>
  </si>
  <si>
    <t>0.9314079422382672</t>
  </si>
  <si>
    <t>0.7978339350180506</t>
  </si>
  <si>
    <t>0.5110521918479921</t>
  </si>
  <si>
    <t>0.818892900120337</t>
  </si>
  <si>
    <t>0.6757522754077306</t>
  </si>
  <si>
    <t>0.9235860409145608</t>
  </si>
  <si>
    <t>0.7912154031287605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</si>
  <si>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</si>
  <si>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</si>
  <si>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</si>
  <si>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</si>
  <si>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</si>
  <si>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</si>
  <si>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</si>
  <si>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</si>
  <si>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</si>
  <si>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</si>
  <si>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</si>
  <si>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</si>
  <si>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</si>
  <si>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</si>
  <si>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</si>
  <si>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</si>
  <si>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</si>
  <si>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</si>
  <si>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</si>
  <si>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</si>
  <si>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</si>
  <si>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</si>
  <si>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</si>
  <si>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</si>
  <si>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</si>
  <si>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</si>
  <si>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</si>
  <si>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</si>
  <si>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</si>
  <si>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</si>
  <si>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0.8517603458925262</t>
  </si>
  <si>
    <t xml:space="preserve"> </t>
  </si>
  <si>
    <t/>
  </si>
  <si>
    <t>Column31</t>
  </si>
  <si>
    <t>Column32</t>
  </si>
  <si>
    <t>.\eredmenyek\\018</t>
  </si>
  <si>
    <t xml:space="preserve"> 1.0901791229153799</t>
  </si>
  <si>
    <t>1.5089561457689933</t>
  </si>
  <si>
    <t>1.0765904879555281</t>
  </si>
  <si>
    <t>1.2169211195928753</t>
  </si>
  <si>
    <t>0.8641136504014824</t>
  </si>
  <si>
    <t>0.8468190240889438</t>
  </si>
  <si>
    <t>0.8770846201358864</t>
  </si>
  <si>
    <t>0.8313773934527486</t>
  </si>
  <si>
    <t>0.8594147582697201</t>
  </si>
  <si>
    <t>0.8783199505867819</t>
  </si>
  <si>
    <t>0.8573193329215565</t>
  </si>
  <si>
    <t>0.8492366412213741</t>
  </si>
  <si>
    <t>0.8153180975911056</t>
  </si>
  <si>
    <t>0.7807288449660285</t>
  </si>
  <si>
    <t>0.7831995058678196</t>
  </si>
  <si>
    <t>0.7634342186534898</t>
  </si>
  <si>
    <t>0.77735368956743</t>
  </si>
  <si>
    <t>0.9956763434218654</t>
  </si>
  <si>
    <t>0.9981470043236566</t>
  </si>
  <si>
    <t>0.9879134860050891</t>
  </si>
  <si>
    <t>0.9802347127856702</t>
  </si>
  <si>
    <t>0.9783817171093268</t>
  </si>
  <si>
    <t>0.9857936998147004</t>
  </si>
  <si>
    <t>0.9722050648548487</t>
  </si>
  <si>
    <t>0.9465648854961832</t>
  </si>
  <si>
    <t>.\eredmenyek\\026</t>
  </si>
  <si>
    <t xml:space="preserve"> 0.8094707520891364</t>
  </si>
  <si>
    <t>0.9142061281337047</t>
  </si>
  <si>
    <t>0.633983286908078</t>
  </si>
  <si>
    <t>0.8467966573816156</t>
  </si>
  <si>
    <t>0.9559888579387187</t>
  </si>
  <si>
    <t>0.9654596100278552</t>
  </si>
  <si>
    <t>0.7403899721448468</t>
  </si>
  <si>
    <t>0.8356545961002786</t>
  </si>
  <si>
    <t>0.7860724233983287</t>
  </si>
  <si>
    <t>0.6562674094707521</t>
  </si>
  <si>
    <t>0.6518105849582173</t>
  </si>
  <si>
    <t>0.6545961002785515</t>
  </si>
  <si>
    <t>0.9086350974930362</t>
  </si>
  <si>
    <t>0.7214484679665738</t>
  </si>
  <si>
    <t>0.7231197771587744</t>
  </si>
  <si>
    <t>0.7420612813370474</t>
  </si>
  <si>
    <t>0.7364902506963789</t>
  </si>
  <si>
    <t>0.8635097493036211</t>
  </si>
  <si>
    <t>0.8557103064066852</t>
  </si>
  <si>
    <t>0.8512534818941504</t>
  </si>
  <si>
    <t>0.833983286908078</t>
  </si>
  <si>
    <t>0.9793871866295265</t>
  </si>
  <si>
    <t>0.8607242339832869</t>
  </si>
  <si>
    <t>0.86016713091922</t>
  </si>
  <si>
    <t>0.8501392757660167</t>
  </si>
  <si>
    <t>.\eredmenyek\\027</t>
  </si>
  <si>
    <t xml:space="preserve"> 0.36308871851040525</t>
  </si>
  <si>
    <t>0.36254107338444685</t>
  </si>
  <si>
    <t>0.42168674698795183</t>
  </si>
  <si>
    <t>0.3663745892661555</t>
  </si>
  <si>
    <t>0.3773274917853231</t>
  </si>
  <si>
    <t>0.35542168674698793</t>
  </si>
  <si>
    <t>0.40963855421686746</t>
  </si>
  <si>
    <t>0.29244249726177435</t>
  </si>
  <si>
    <t>0.29518072289156627</t>
  </si>
  <si>
    <t>0.2864184008762322</t>
  </si>
  <si>
    <t>0.36308871851040525</t>
  </si>
  <si>
    <t>0.24370208105147864</t>
  </si>
  <si>
    <t>0.25205930807248766</t>
  </si>
  <si>
    <t>0.2656078860898138</t>
  </si>
  <si>
    <t>0.255750273822563</t>
  </si>
  <si>
    <t>0.3132530120481928</t>
  </si>
  <si>
    <t>0.735487404162103</t>
  </si>
  <si>
    <t>0.7157721796276013</t>
  </si>
  <si>
    <t>0.7426067907995619</t>
  </si>
  <si>
    <t>0.7798466593647316</t>
  </si>
  <si>
    <t>0.7026286966046003</t>
  </si>
  <si>
    <t>0.7059145673603505</t>
  </si>
  <si>
    <t>0.7102957283680176</t>
  </si>
  <si>
    <t>0.7245345016429354</t>
  </si>
  <si>
    <t>0.7628696604600219</t>
  </si>
  <si>
    <t>.\eredmenyek\\029</t>
  </si>
  <si>
    <t xml:space="preserve"> 0.6921858500527983</t>
  </si>
  <si>
    <t>0.7032734952481521</t>
  </si>
  <si>
    <t>0.718585005279831</t>
  </si>
  <si>
    <t>0.7439281942977825</t>
  </si>
  <si>
    <t>0.6663146779303062</t>
  </si>
  <si>
    <t>0.6372756071805702</t>
  </si>
  <si>
    <t>0.6478352692713834</t>
  </si>
  <si>
    <t>0.6304118268215417</t>
  </si>
  <si>
    <t>0.6673706441393875</t>
  </si>
  <si>
    <t>0.6251319957761352</t>
  </si>
  <si>
    <t>0.6219640971488912</t>
  </si>
  <si>
    <t>0.6122881355932204</t>
  </si>
  <si>
    <t>0.660506863780359</t>
  </si>
  <si>
    <t>0.5791974656810982</t>
  </si>
  <si>
    <t>0.5533262935586061</t>
  </si>
  <si>
    <t>0.5570221752903907</t>
  </si>
  <si>
    <t>0.5512143611404435</t>
  </si>
  <si>
    <t>0.5987328405491025</t>
  </si>
  <si>
    <t>0.9561774023231256</t>
  </si>
  <si>
    <t>0.9683210137275607</t>
  </si>
  <si>
    <t>0.9651531151003168</t>
  </si>
  <si>
    <t>0.9635691657866948</t>
  </si>
  <si>
    <t>0.9382259767687434</t>
  </si>
  <si>
    <t>0.9292502639915523</t>
  </si>
  <si>
    <t>0.9435058078141499</t>
  </si>
  <si>
    <t>0.9271383315733897</t>
  </si>
  <si>
    <t>0.9076029567053854</t>
  </si>
  <si>
    <t>.\eredmenyek\\031</t>
  </si>
  <si>
    <t xml:space="preserve"> 1.0209828823854223</t>
  </si>
  <si>
    <t>0.898398674765323</t>
  </si>
  <si>
    <t>1.0496963003865267</t>
  </si>
  <si>
    <t>1.2838210933186085</t>
  </si>
  <si>
    <t>0.9580342352291552</t>
  </si>
  <si>
    <t>0.9762562120375483</t>
  </si>
  <si>
    <t>0.9133075648812811</t>
  </si>
  <si>
    <t>1.1518498067366096</t>
  </si>
  <si>
    <t>1.112092766427388</t>
  </si>
  <si>
    <t>0.9017117614577581</t>
  </si>
  <si>
    <t>0.9044726670347875</t>
  </si>
  <si>
    <t>0.8851463279955826</t>
  </si>
  <si>
    <t>0.8945334069574821</t>
  </si>
  <si>
    <t>0.9536167863059083</t>
  </si>
  <si>
    <t>0.9260077305356157</t>
  </si>
  <si>
    <t>0.9304251794588625</t>
  </si>
  <si>
    <t>0.9033683048039757</t>
  </si>
  <si>
    <t>0.9011595803423523</t>
  </si>
  <si>
    <t>0.9895085588072888</t>
  </si>
  <si>
    <t>0.9889563776918829</t>
  </si>
  <si>
    <t>0.9939260077305356</t>
  </si>
  <si>
    <t>0.992821645499724</t>
  </si>
  <si>
    <t>0.9878520154610713</t>
  </si>
  <si>
    <t>0.9845389287686361</t>
  </si>
  <si>
    <t>0.9861954721148537</t>
  </si>
  <si>
    <t>0.988404196576477</t>
  </si>
  <si>
    <t>0.9828823854224186</t>
  </si>
  <si>
    <t>.\eredmenyek\\033</t>
  </si>
  <si>
    <t xml:space="preserve"> 1.4569761789013127</t>
  </si>
  <si>
    <t>1.1336898395721926</t>
  </si>
  <si>
    <t>1.5838599902771027</t>
  </si>
  <si>
    <t>1.6924963217263365</t>
  </si>
  <si>
    <t>1.7058823529411764</t>
  </si>
  <si>
    <t>1.1215362177929022</t>
  </si>
  <si>
    <t>1.1166747690811862</t>
  </si>
  <si>
    <t>1.6499756927564415</t>
  </si>
  <si>
    <t>1.2864149092692496</t>
  </si>
  <si>
    <t>0.9835247129306041</t>
  </si>
  <si>
    <t>0.9881947860304968</t>
  </si>
  <si>
    <t>0.9424670892247684</t>
  </si>
  <si>
    <t>0.9432659102121361</t>
  </si>
  <si>
    <t>0.9392318911035489</t>
  </si>
  <si>
    <t>0.9712195121951219</t>
  </si>
  <si>
    <t>0.9708313077297035</t>
  </si>
  <si>
    <t>0.9105493437044239</t>
  </si>
  <si>
    <t>0.9269249632172634</t>
  </si>
  <si>
    <t>1.0</t>
  </si>
  <si>
    <t>0.9985415653864852</t>
  </si>
  <si>
    <t>0.9936243256498284</t>
  </si>
  <si>
    <t>0.9951385512882839</t>
  </si>
  <si>
    <t>0.9995138551288284</t>
  </si>
  <si>
    <t>0.9936801166747691</t>
  </si>
  <si>
    <t>0.9872486512996567</t>
  </si>
  <si>
    <t>.\eredmenyek\\036</t>
  </si>
  <si>
    <t xml:space="preserve"> 0.3990849008642603</t>
  </si>
  <si>
    <t>0.42602948652770717</t>
  </si>
  <si>
    <t>0.40264361972547025</t>
  </si>
  <si>
    <t>0.44776119402985076</t>
  </si>
  <si>
    <t>0.4097610574478902</t>
  </si>
  <si>
    <t>0.39450940518556177</t>
  </si>
  <si>
    <t>0.4377224199288256</t>
  </si>
  <si>
    <t>0.42923314462171896</t>
  </si>
  <si>
    <t>0.37620742247076766</t>
  </si>
  <si>
    <t>0.4173868835790544</t>
  </si>
  <si>
    <t>0.38739196746314186</t>
  </si>
  <si>
    <t>0.4189397838394236</t>
  </si>
  <si>
    <t>0.4036603965429588</t>
  </si>
  <si>
    <t>0.3375959079283887</t>
  </si>
  <si>
    <t>0.3482460599898322</t>
  </si>
  <si>
    <t>0.32483426823049466</t>
  </si>
  <si>
    <t>0.3721049922799794</t>
  </si>
  <si>
    <t>0.8327402135231317</t>
  </si>
  <si>
    <t>0.8739196746314184</t>
  </si>
  <si>
    <t>0.8393492628368073</t>
  </si>
  <si>
    <t>0.847143592382913</t>
  </si>
  <si>
    <t>0.8246059989832232</t>
  </si>
  <si>
    <t>0.7839349262836808</t>
  </si>
  <si>
    <t>0.7707168276563294</t>
  </si>
  <si>
    <t>0.8080288214101904</t>
  </si>
  <si>
    <t>.\eredmenyek\\040</t>
  </si>
  <si>
    <t xml:space="preserve"> 0.703155818540434</t>
  </si>
  <si>
    <t>0.7090729783037475</t>
  </si>
  <si>
    <t>0.6893491124260355</t>
  </si>
  <si>
    <t>0.8551474392136575</t>
  </si>
  <si>
    <t>0.6395463510848126</t>
  </si>
  <si>
    <t>0.6429980276134122</t>
  </si>
  <si>
    <t>0.6400394477317555</t>
  </si>
  <si>
    <t>0.6469428007889546</t>
  </si>
  <si>
    <t>0.6637351267459907</t>
  </si>
  <si>
    <t>0.6499013806706114</t>
  </si>
  <si>
    <t>0.650887573964497</t>
  </si>
  <si>
    <t>0.6632149901380671</t>
  </si>
  <si>
    <t>0.7040869115364718</t>
  </si>
  <si>
    <t>0.621301775147929</t>
  </si>
  <si>
    <t>0.6010848126232742</t>
  </si>
  <si>
    <t>0.613905325443787</t>
  </si>
  <si>
    <t>0.5897435897435898</t>
  </si>
  <si>
    <t>0.644593895499224</t>
  </si>
  <si>
    <t>0.9748520710059172</t>
  </si>
  <si>
    <t>0.9738658777120316</t>
  </si>
  <si>
    <t>0.97534516765286</t>
  </si>
  <si>
    <t>0.9710294878427315</t>
  </si>
  <si>
    <t>0.9462524654832347</t>
  </si>
  <si>
    <t>0.9580867850098619</t>
  </si>
  <si>
    <t>0.9541420118343196</t>
  </si>
  <si>
    <t>0.9516765285996055</t>
  </si>
  <si>
    <t>0.9467149508535955</t>
  </si>
  <si>
    <t xml:space="preserve"> 0.7692514512406001</t>
  </si>
  <si>
    <t>1.0374752262038833</t>
  </si>
  <si>
    <t>0.7510413547992283</t>
  </si>
  <si>
    <t>0.8177257008469093</t>
  </si>
  <si>
    <t>0.5323432267880539</t>
  </si>
  <si>
    <t>0.5196207075381253</t>
  </si>
  <si>
    <t>0.544795642044694</t>
  </si>
  <si>
    <t>0.5019914006456057</t>
  </si>
  <si>
    <t>0.534902404388047</t>
  </si>
  <si>
    <t>0.6140718134709602</t>
  </si>
  <si>
    <t>0.6369251663987804</t>
  </si>
  <si>
    <t>0.6064040734180336</t>
  </si>
  <si>
    <t>0.6004898735106499</t>
  </si>
  <si>
    <t>0.5538202305721392</t>
  </si>
  <si>
    <t>0.48403860729026627</t>
  </si>
  <si>
    <t>0.5037502083425806</t>
  </si>
  <si>
    <t>0.4910558681905843</t>
  </si>
  <si>
    <t>0.4946397405334351</t>
  </si>
  <si>
    <t>0.9626571018689427</t>
  </si>
  <si>
    <t>0.9706190972418808</t>
  </si>
  <si>
    <t>0.9526526080349045</t>
  </si>
  <si>
    <t>0.9395009928993442</t>
  </si>
  <si>
    <t>0.7909609772291738</t>
  </si>
  <si>
    <t>0.805904714468663</t>
  </si>
  <si>
    <t>0.8429854983843224</t>
  </si>
  <si>
    <t>0.7918528133879867</t>
  </si>
  <si>
    <t>0.7763192620822084</t>
  </si>
  <si>
    <t xml:space="preserve"> 0.4658398959888093</t>
  </si>
  <si>
    <t>0.567519559298752</t>
  </si>
  <si>
    <t>0.3384417600093872</t>
  </si>
  <si>
    <t>0.532466624511645</t>
  </si>
  <si>
    <t>0.60386573436714</t>
  </si>
  <si>
    <t>0.6629408810666316</t>
  </si>
  <si>
    <t>0.44065893588942123</t>
  </si>
  <si>
    <t>0.5708243662412594</t>
  </si>
  <si>
    <t>0.4884672639911635</t>
  </si>
  <si>
    <t>0.4055701276144533</t>
  </si>
  <si>
    <t>0.3913152543667971</t>
  </si>
  <si>
    <t>0.3914259881746434</t>
  </si>
  <si>
    <t>0.40669734399906143</t>
  </si>
  <si>
    <t>0.6505403167397624</t>
  </si>
  <si>
    <t>0.47218055331531467</t>
  </si>
  <si>
    <t>0.46353633924806514</t>
  </si>
  <si>
    <t>0.4837578969827792</t>
  </si>
  <si>
    <t>0.49788374189639506</t>
  </si>
  <si>
    <t>0.5729088208701275</t>
  </si>
  <si>
    <t>0.5340348938735997</t>
  </si>
  <si>
    <t>0.5421381905762641</t>
  </si>
  <si>
    <t>0.511789206940769</t>
  </si>
  <si>
    <t>0.6868788118560426</t>
  </si>
  <si>
    <t>0.5173371595749424</t>
  </si>
  <si>
    <t>0.5101939471787599</t>
  </si>
  <si>
    <t>0.5292850047980404</t>
  </si>
  <si>
    <t>0.510927381946411</t>
  </si>
  <si>
    <t xml:space="preserve"> 0.10722931083774827</t>
  </si>
  <si>
    <t>0.11544197025131296</t>
  </si>
  <si>
    <t>0.10880083498295018</t>
  </si>
  <si>
    <t>0.14564738356665566</t>
  </si>
  <si>
    <t>0.10225766270286735</t>
  </si>
  <si>
    <t>0.09528097198831995</t>
  </si>
  <si>
    <t>0.10786226734916969</t>
  </si>
  <si>
    <t>0.09367459449989278</t>
  </si>
  <si>
    <t>0.12866153127984414</t>
  </si>
  <si>
    <t>0.08948158576565264</t>
  </si>
  <si>
    <t>0.095189400781382</t>
  </si>
  <si>
    <t>0.09333069425732535</t>
  </si>
  <si>
    <t>0.13802696782374585</t>
  </si>
  <si>
    <t>0.07263829250120366</t>
  </si>
  <si>
    <t>0.07645745970299046</t>
  </si>
  <si>
    <t>0.08198879596097622</t>
  </si>
  <si>
    <t>0.07868061421393456</t>
  </si>
  <si>
    <t>0.10632763541508691</t>
  </si>
  <si>
    <t>0.2738305437456211</t>
  </si>
  <si>
    <t>0.25736374083878744</t>
  </si>
  <si>
    <t>0.2942090543684556</t>
  </si>
  <si>
    <t>0.36063402079716544</t>
  </si>
  <si>
    <t>0.2469431880132546</t>
  </si>
  <si>
    <t>0.2466997389512397</t>
  </si>
  <si>
    <t>0.24173774847226467</t>
  </si>
  <si>
    <t>0.2682114571365773</t>
  </si>
  <si>
    <t>0.32254062388240473</t>
  </si>
  <si>
    <t xml:space="preserve"> 0.37395053879127405</t>
  </si>
  <si>
    <t>0.36744888703901607</t>
  </si>
  <si>
    <t>0.3956643510460295</t>
  </si>
  <si>
    <t>0.41881368393570767</t>
  </si>
  <si>
    <t>0.30837712107273757</t>
  </si>
  <si>
    <t>0.2952560565261034</t>
  </si>
  <si>
    <t>0.29343781617739395</t>
  </si>
  <si>
    <t>0.29620390894934484</t>
  </si>
  <si>
    <t>0.3325438468155209</t>
  </si>
  <si>
    <t>0.34691068830713856</t>
  </si>
  <si>
    <t>0.33640057620831487</t>
  </si>
  <si>
    <t>0.335944704557868</t>
  </si>
  <si>
    <t>0.3731868415734296</t>
  </si>
  <si>
    <t>0.289731860891457</t>
  </si>
  <si>
    <t>0.2715063106145629</t>
  </si>
  <si>
    <t>0.27516481511181784</t>
  </si>
  <si>
    <t>0.272205434648611</t>
  </si>
  <si>
    <t>0.30112226901418737</t>
  </si>
  <si>
    <t>0.7690868852011392</t>
  </si>
  <si>
    <t>0.7777223891864389</t>
  </si>
  <si>
    <t>0.7797902696930588</t>
  </si>
  <si>
    <t>0.7933467107643685</t>
  </si>
  <si>
    <t>0.5749922713777539</t>
  </si>
  <si>
    <t>0.5626070700537342</t>
  </si>
  <si>
    <t>0.6140494204159551</t>
  </si>
  <si>
    <t>0.5704480829871715</t>
  </si>
  <si>
    <t>0.6127302628850996</t>
  </si>
  <si>
    <t xml:space="preserve"> 0.7257415300784119</t>
  </si>
  <si>
    <t>0.6091566652890846</t>
  </si>
  <si>
    <t>0.8015481347455847</t>
  </si>
  <si>
    <t>0.8424802635367995</t>
  </si>
  <si>
    <t>0.6114651062825344</t>
  </si>
  <si>
    <t>0.6603863148359808</t>
  </si>
  <si>
    <t>0.6085829479111174</t>
  </si>
  <si>
    <t>0.7144088489397051</t>
  </si>
  <si>
    <t>0.8646886555695106</t>
  </si>
  <si>
    <t>0.6798967834236664</t>
  </si>
  <si>
    <t>0.6935153638741056</t>
  </si>
  <si>
    <t>0.6631918220346114</t>
  </si>
  <si>
    <t>0.6713015104960736</t>
  </si>
  <si>
    <t>0.7216839573779115</t>
  </si>
  <si>
    <t>0.6896132107377534</t>
  </si>
  <si>
    <t>0.6889507692081022</t>
  </si>
  <si>
    <t>0.6720298972968693</t>
  </si>
  <si>
    <t>0.6707023284077585</t>
  </si>
  <si>
    <t>0.8508510760958895</t>
  </si>
  <si>
    <t>0.8656877684276075</t>
  </si>
  <si>
    <t>0.893152991236828</t>
  </si>
  <si>
    <t>0.9032940559402561</t>
  </si>
  <si>
    <t>0.7812079017689378</t>
  </si>
  <si>
    <t>0.8168477598908682</t>
  </si>
  <si>
    <t>0.8231307001561176</t>
  </si>
  <si>
    <t>0.8423468224629039</t>
  </si>
  <si>
    <t>0.8415971883982009</t>
  </si>
  <si>
    <t xml:space="preserve"> 1.318497127242184</t>
  </si>
  <si>
    <t>0.996261988201253</t>
  </si>
  <si>
    <t>1.304414206586989</t>
  </si>
  <si>
    <t>1.4333620990971359</t>
  </si>
  <si>
    <t>1.3705274484239844</t>
  </si>
  <si>
    <t>1.0089084430998927</t>
  </si>
  <si>
    <t>0.9021360221920289</t>
  </si>
  <si>
    <t>1.2702347183650222</t>
  </si>
  <si>
    <t>1.0436243342386342</t>
  </si>
  <si>
    <t>0.8982767365444354</t>
  </si>
  <si>
    <t>0.898250661472565</t>
  </si>
  <si>
    <t>0.8157822871353272</t>
  </si>
  <si>
    <t>0.8190364737168319</t>
  </si>
  <si>
    <t>0.7855304980512261</t>
  </si>
  <si>
    <t>0.8259921015966525</t>
  </si>
  <si>
    <t>0.8475275187037676</t>
  </si>
  <si>
    <t>0.762886159495232</t>
  </si>
  <si>
    <t>0.7724057787413383</t>
  </si>
  <si>
    <t>0.9999163209093128</t>
  </si>
  <si>
    <t>0.9900132235072887</t>
  </si>
  <si>
    <t>0.9821489637736205</t>
  </si>
  <si>
    <t>0.8717101806250793</t>
  </si>
  <si>
    <t>0.9986940825798701</t>
  </si>
  <si>
    <t>0.9998237853777826</t>
  </si>
  <si>
    <t>0.9610729662367121</t>
  </si>
  <si>
    <t>0.9413008074181866</t>
  </si>
  <si>
    <t xml:space="preserve"> 0.13779115574535372</t>
  </si>
  <si>
    <t>0.1518794692146019</t>
  </si>
  <si>
    <t>0.14227997411838358</t>
  </si>
  <si>
    <t>0.16843581819773762</t>
  </si>
  <si>
    <t>0.13016418022275936</t>
  </si>
  <si>
    <t>0.125211770157847</t>
  </si>
  <si>
    <t>0.14174632359674888</t>
  </si>
  <si>
    <t>0.1269703140974964</t>
  </si>
  <si>
    <t>0.1439027997130396</t>
  </si>
  <si>
    <t>0.14766469758547066</t>
  </si>
  <si>
    <t>0.19070407002618228</t>
  </si>
  <si>
    <t>0.1564682718801577</t>
  </si>
  <si>
    <t>0.17740551448724623</t>
  </si>
  <si>
    <t>0.1649228057587047</t>
  </si>
  <si>
    <t>0.12700197034711785</t>
  </si>
  <si>
    <t>0.1334161800219209</t>
  </si>
  <si>
    <t>0.12200874769950164</t>
  </si>
  <si>
    <t>0.14552684773061278</t>
  </si>
  <si>
    <t>0.41160248954840295</t>
  </si>
  <si>
    <t>0.46227128611881974</t>
  </si>
  <si>
    <t>0.4184677662016296</t>
  </si>
  <si>
    <t>0.44600021171981447</t>
  </si>
  <si>
    <t>0.4000762790964201</t>
  </si>
  <si>
    <t>0.32471323231068044</t>
  </si>
  <si>
    <t>0.36047610531529056</t>
  </si>
  <si>
    <t>0.32233924181217877</t>
  </si>
  <si>
    <t>0.3535706234062816</t>
  </si>
  <si>
    <t xml:space="preserve"> 0.35528557572072733</t>
  </si>
  <si>
    <t>0.3614658078185411</t>
  </si>
  <si>
    <t>0.34924120044924734</t>
  </si>
  <si>
    <t>0.523323898596134</t>
  </si>
  <si>
    <t>0.2873103410944574</t>
  </si>
  <si>
    <t>0.2899179687941141</t>
  </si>
  <si>
    <t>0.2877748783995283</t>
  </si>
  <si>
    <t>0.28399836633376546</t>
  </si>
  <si>
    <t>0.32289216849745345</t>
  </si>
  <si>
    <t>0.3490350037654466</t>
  </si>
  <si>
    <t>0.34776353623030404</t>
  </si>
  <si>
    <t>0.3549313230944579</t>
  </si>
  <si>
    <t>0.3935179542991116</t>
  </si>
  <si>
    <t>0.30826698322775054</t>
  </si>
  <si>
    <t>0.29269665253187493</t>
  </si>
  <si>
    <t>0.2982357840390148</t>
  </si>
  <si>
    <t>0.29366071961495077</t>
  </si>
  <si>
    <t>0.3387780230811107</t>
  </si>
  <si>
    <t>0.6873579388338437</t>
  </si>
  <si>
    <t>0.6803857730421784</t>
  </si>
  <si>
    <t>0.6794166755307623</t>
  </si>
  <si>
    <t>0.7078865501949471</t>
  </si>
  <si>
    <t>0.5676731613666003</t>
  </si>
  <si>
    <t>0.5872422125618488</t>
  </si>
  <si>
    <t>0.5914151339498654</t>
  </si>
  <si>
    <t>0.5732931417066969</t>
  </si>
  <si>
    <t>0.5981533050128756</t>
  </si>
  <si>
    <t>.\eredmenyek\\010</t>
  </si>
  <si>
    <t xml:space="preserve"> 0.9813477737665464</t>
  </si>
  <si>
    <t>0.8700361010830325</t>
  </si>
  <si>
    <t>0.8664259927797834</t>
  </si>
  <si>
    <t>1.0174488567990374</t>
  </si>
  <si>
    <t>0.809265944645006</t>
  </si>
  <si>
    <t>0.8032490974729242</t>
  </si>
  <si>
    <t>0.8098676293622142</t>
  </si>
  <si>
    <t>0.8146811070998796</t>
  </si>
  <si>
    <t>0.9626955475330926</t>
  </si>
  <si>
    <t>0.9578820697954272</t>
  </si>
  <si>
    <t>0.9584837545126353</t>
  </si>
  <si>
    <t>0.957280385078219</t>
  </si>
  <si>
    <t>.\eredmenyek\\016</t>
  </si>
  <si>
    <t xml:space="preserve"> 0.9303356554781508</t>
  </si>
  <si>
    <t>1.0107663077897404</t>
  </si>
  <si>
    <t>0.9360354654844838</t>
  </si>
  <si>
    <t>1.167836630504148</t>
  </si>
  <si>
    <t>0.8986700443318556</t>
  </si>
  <si>
    <t>0.9018366054464851</t>
  </si>
  <si>
    <t>0.9924002533248891</t>
  </si>
  <si>
    <t>0.9012032932235592</t>
  </si>
  <si>
    <t>0.9010848755583918</t>
  </si>
  <si>
    <t>0.8803039898670044</t>
  </si>
  <si>
    <t>0.8815706143128562</t>
  </si>
  <si>
    <t>0.8898036732108929</t>
  </si>
  <si>
    <t>0.8966177409061902</t>
  </si>
  <si>
    <t>0.8594046865104497</t>
  </si>
  <si>
    <t>0.8695376820772641</t>
  </si>
  <si>
    <t>0.8746041798606713</t>
  </si>
  <si>
    <t>0.8581380620645979</t>
  </si>
  <si>
    <t>0.8730057434588385</t>
  </si>
  <si>
    <t>0.9898670044331855</t>
  </si>
  <si>
    <t>0.9905003166561115</t>
  </si>
  <si>
    <t>0.98851308232291</t>
  </si>
  <si>
    <t>0.9841671944268524</t>
  </si>
  <si>
    <t>0.9829005699810006</t>
  </si>
  <si>
    <t>0.9854338188727042</t>
  </si>
  <si>
    <t>0.980367321089297</t>
  </si>
  <si>
    <t>0.982769623484365</t>
  </si>
  <si>
    <t>.\eredmenyek\\043</t>
  </si>
  <si>
    <t xml:space="preserve"> 0.6185567010309279</t>
  </si>
  <si>
    <t>0.6185567010309279</t>
  </si>
  <si>
    <t>0.2268041237113402</t>
  </si>
  <si>
    <t>0.26804123711340205</t>
  </si>
  <si>
    <t>0.44329896907216493</t>
  </si>
  <si>
    <t>0.6391752577319587</t>
  </si>
  <si>
    <t>0.24742268041237114</t>
  </si>
  <si>
    <t>0.1134020618556701</t>
  </si>
  <si>
    <t>0.16494845360824742</t>
  </si>
  <si>
    <t>0.12371134020618557</t>
  </si>
  <si>
    <t>0.17525773195876287</t>
  </si>
  <si>
    <t>0.13402061855670103</t>
  </si>
  <si>
    <t>0.15463917525773196</t>
  </si>
  <si>
    <t>0.10309278350515463</t>
  </si>
  <si>
    <t>0.27835051546391754</t>
  </si>
  <si>
    <t>0.20618556701030927</t>
  </si>
  <si>
    <t>.\eredmenyek\\048</t>
  </si>
  <si>
    <t xml:space="preserve"> 0.5051546391752577</t>
  </si>
  <si>
    <t>0.5979381443298969</t>
  </si>
  <si>
    <t>0.31958762886597936</t>
  </si>
  <si>
    <t>0.3917525773195876</t>
  </si>
  <si>
    <t>0.5463917525773195</t>
  </si>
  <si>
    <t>0.5154639175257731</t>
  </si>
  <si>
    <t>0.4329896907216495</t>
  </si>
  <si>
    <t>0.32989690721649484</t>
  </si>
  <si>
    <t>0.18556701030927836</t>
  </si>
  <si>
    <t>0.08247422680412371</t>
  </si>
  <si>
    <t>0.09278350515463918</t>
  </si>
  <si>
    <t>0.21649484536082475</t>
  </si>
  <si>
    <t>0.1958762886597938</t>
  </si>
  <si>
    <t xml:space="preserve"> 0.6991608348728183</t>
  </si>
  <si>
    <t>0.6013675683632825</t>
  </si>
  <si>
    <t>0.6188229912445432</t>
  </si>
  <si>
    <t>0.7836482177466378</t>
  </si>
  <si>
    <t>0.5678410788385189</t>
  </si>
  <si>
    <t>0.5552762603799475</t>
  </si>
  <si>
    <t>0.5778006726758689</t>
  </si>
  <si>
    <t>0.5842639395523256</t>
  </si>
  <si>
    <t>0.5130469482842342</t>
  </si>
  <si>
    <t>0.5082493907823997</t>
  </si>
  <si>
    <t>0.5139682123934731</t>
  </si>
  <si>
    <t>0.52783897805057</t>
  </si>
  <si>
    <t>0.8157001821544317</t>
  </si>
  <si>
    <t>0.7839624749276989</t>
  </si>
  <si>
    <t>0.8319907803452081</t>
  </si>
  <si>
    <t>0.8411317158715972</t>
  </si>
  <si>
    <t xml:space="preserve"> 0.6716972262553832</t>
  </si>
  <si>
    <t>0.7771593387847057</t>
  </si>
  <si>
    <t>0.656362406413737</t>
  </si>
  <si>
    <t>0.8710572648802059</t>
  </si>
  <si>
    <t>0.5976644083665038</t>
  </si>
  <si>
    <t>0.6067159857791736</t>
  </si>
  <si>
    <t>0.7142562998794618</t>
  </si>
  <si>
    <t>0.610556249560797</t>
  </si>
  <si>
    <t>0.6272514514583525</t>
  </si>
  <si>
    <t>0.6141635746884521</t>
  </si>
  <si>
    <t>0.6253762509835942</t>
  </si>
  <si>
    <t>0.6094884266590999</t>
  </si>
  <si>
    <t>0.6415640959153119</t>
  </si>
  <si>
    <t>0.5427814346212789</t>
  </si>
  <si>
    <t>0.5690281704972893</t>
  </si>
  <si>
    <t>0.5889605812054505</t>
  </si>
  <si>
    <t>0.5551989745628431</t>
  </si>
  <si>
    <t>0.5878823071279062</t>
  </si>
  <si>
    <t>0.9180921565251698</t>
  </si>
  <si>
    <t>0.918357912088627</t>
  </si>
  <si>
    <t>0.8823278144761769</t>
  </si>
  <si>
    <t>0.9146586808807401</t>
  </si>
  <si>
    <t>0.7823662789138381</t>
  </si>
  <si>
    <t>0.8543072388576934</t>
  </si>
  <si>
    <t>0.8496936423104049</t>
  </si>
  <si>
    <t>0.8004224862512102</t>
  </si>
  <si>
    <t>0.8367273454518214</t>
  </si>
  <si>
    <t xml:space="preserve"> 0.5689948892674617</t>
  </si>
  <si>
    <t>0.5689948892674617</t>
  </si>
  <si>
    <t>0.1584327086882453</t>
  </si>
  <si>
    <t>0.17206132879045996</t>
  </si>
  <si>
    <t>0.3679727427597956</t>
  </si>
  <si>
    <t>0.5741056218057922</t>
  </si>
  <si>
    <t>0.16695059625212946</t>
  </si>
  <si>
    <t>0.17035775127768313</t>
  </si>
  <si>
    <t>0.028960817717206135</t>
  </si>
  <si>
    <t>0.04258943781942078</t>
  </si>
  <si>
    <t>0.03236797274275979</t>
  </si>
  <si>
    <t>0.044293015332197615</t>
  </si>
  <si>
    <t>0.04088586030664395</t>
  </si>
  <si>
    <t>0.06303236797274275</t>
  </si>
  <si>
    <t>0.06814310051107325</t>
  </si>
  <si>
    <t>0.06643952299829642</t>
  </si>
  <si>
    <t>0.07495741056218058</t>
  </si>
  <si>
    <t>0.06132879045996593</t>
  </si>
  <si>
    <t>0.05281090289608177</t>
  </si>
  <si>
    <t>0.07155025553662692</t>
  </si>
  <si>
    <t>0.059625212947189095</t>
  </si>
  <si>
    <t xml:space="preserve"> 0.47018739352640543</t>
  </si>
  <si>
    <t>0.5672913117546848</t>
  </si>
  <si>
    <t>0.28620102214650767</t>
  </si>
  <si>
    <t>0.282793867120954</t>
  </si>
  <si>
    <t>0.35093696763202725</t>
  </si>
  <si>
    <t>0.4804088586030664</t>
  </si>
  <si>
    <t>0.3611584327086883</t>
  </si>
  <si>
    <t>0.29131175468483816</t>
  </si>
  <si>
    <t>0.02385008517887564</t>
  </si>
  <si>
    <t>0.018739352640545145</t>
  </si>
  <si>
    <t>0.015332197614991482</t>
  </si>
  <si>
    <t>0.02555366269165247</t>
  </si>
  <si>
    <t>0.054514480408858604</t>
  </si>
  <si>
    <t>0.020442930153321975</t>
  </si>
  <si>
    <t>0.049403747870528106</t>
  </si>
  <si>
    <t>0.05792163543441227</t>
  </si>
  <si>
    <t>0.04770017035775128</t>
  </si>
  <si>
    <t>0.056218057921635436</t>
  </si>
  <si>
    <t>.\eredmenyek\\041</t>
  </si>
  <si>
    <t xml:space="preserve"> 0.958876629889669</t>
  </si>
  <si>
    <t>1.0190571715145436</t>
  </si>
  <si>
    <t>1.1183550651955867</t>
  </si>
  <si>
    <t>1.0276155071694104</t>
  </si>
  <si>
    <t>0.8625877632898696</t>
  </si>
  <si>
    <t>0.8786359077231695</t>
  </si>
  <si>
    <t>0.9222668004012036</t>
  </si>
  <si>
    <t>1.2542627883650952</t>
  </si>
  <si>
    <t>1.1343600637280935</t>
  </si>
  <si>
    <t>0.8706118355065195</t>
  </si>
  <si>
    <t>0.8746238716148446</t>
  </si>
  <si>
    <t>0.9022066198595787</t>
  </si>
  <si>
    <t>0.9410515135422198</t>
  </si>
  <si>
    <t>0.8124373119358074</t>
  </si>
  <si>
    <t>0.8234704112337011</t>
  </si>
  <si>
    <t>0.8104312938816449</t>
  </si>
  <si>
    <t>0.8565697091273822</t>
  </si>
  <si>
    <t>0.9017525225703664</t>
  </si>
  <si>
    <t>0.9954864593781344</t>
  </si>
  <si>
    <t>0.9949849548645938</t>
  </si>
  <si>
    <t>0.9904714142427282</t>
  </si>
  <si>
    <t>0.993480441323972</t>
  </si>
  <si>
    <t>0.9914744232698094</t>
  </si>
  <si>
    <t>0.9984954864593781</t>
  </si>
  <si>
    <t>0.9984067976633032</t>
  </si>
  <si>
    <t>.\eredmenyek\\042</t>
  </si>
  <si>
    <t xml:space="preserve"> 1.3878060969515242</t>
  </si>
  <si>
    <t>1.1954022988505748</t>
  </si>
  <si>
    <t>1.5962018990504747</t>
  </si>
  <si>
    <t>1.4867566216891555</t>
  </si>
  <si>
    <t>1.0194902548725637</t>
  </si>
  <si>
    <t>1.016991504247876</t>
  </si>
  <si>
    <t>1.050974512743628</t>
  </si>
  <si>
    <t>1.1469265367316341</t>
  </si>
  <si>
    <t>1.1404297851074463</t>
  </si>
  <si>
    <t>0.8655672163918041</t>
  </si>
  <si>
    <t>0.8665667166416792</t>
  </si>
  <si>
    <t>0.8650674662668666</t>
  </si>
  <si>
    <t>0.8685657171414293</t>
  </si>
  <si>
    <t>0.9270364817591205</t>
  </si>
  <si>
    <t>0.8760619690154923</t>
  </si>
  <si>
    <t>0.888055972013993</t>
  </si>
  <si>
    <t>0.8845577211394303</t>
  </si>
  <si>
    <t>0.992503748125937</t>
  </si>
  <si>
    <t>0.9950024987506247</t>
  </si>
  <si>
    <t>0.9985007496251874</t>
  </si>
  <si>
    <t>0.9885057471264368</t>
  </si>
  <si>
    <t>0.9905047476261869</t>
  </si>
  <si>
    <t>0.9870064967516242</t>
  </si>
  <si>
    <t>0.9850074962518741</t>
  </si>
  <si>
    <t>0.9910044977511244</t>
  </si>
  <si>
    <t>0.975512243878061</t>
  </si>
  <si>
    <t xml:space="preserve"> 0.6459725023330168</t>
  </si>
  <si>
    <t>0.7427345709025943</t>
  </si>
  <si>
    <t>0.8722666300677526</t>
  </si>
  <si>
    <t>0.8493900773949594</t>
  </si>
  <si>
    <t>0.536710772622877</t>
  </si>
  <si>
    <t>0.5386685588020163</t>
  </si>
  <si>
    <t>0.6314146548695684</t>
  </si>
  <si>
    <t>0.9377682343227352</t>
  </si>
  <si>
    <t>0.9208065421443548</t>
  </si>
  <si>
    <t>0.5973540851213841</t>
  </si>
  <si>
    <t>0.5954448977104313</t>
  </si>
  <si>
    <t>0.7048557067990239</t>
  </si>
  <si>
    <t>0.7819580938201144</t>
  </si>
  <si>
    <t>0.5189234960016282</t>
  </si>
  <si>
    <t>0.5168970836636042</t>
  </si>
  <si>
    <t>0.5165942144911727</t>
  </si>
  <si>
    <t>0.5993429058801669</t>
  </si>
  <si>
    <t>0.6921619038790761</t>
  </si>
  <si>
    <t>0.9246888358902523</t>
  </si>
  <si>
    <t>0.9200231741979453</t>
  </si>
  <si>
    <t>0.9922879332512118</t>
  </si>
  <si>
    <t>0.9977694570215583</t>
  </si>
  <si>
    <t>0.8244459167072501</t>
  </si>
  <si>
    <t>0.8276267063867604</t>
  </si>
  <si>
    <t>0.8285830095152354</t>
  </si>
  <si>
    <t>0.9611378588038302</t>
  </si>
  <si>
    <t>0.9910052554008559</t>
  </si>
  <si>
    <t xml:space="preserve"> 0.9374995394271289</t>
  </si>
  <si>
    <t>0.8369258587508582</t>
  </si>
  <si>
    <t>1.194979528520108</t>
  </si>
  <si>
    <t>1.0835945954762558</t>
  </si>
  <si>
    <t>0.6708785363672287</t>
  </si>
  <si>
    <t>0.6716538422478774</t>
  </si>
  <si>
    <t>0.6923417798474689</t>
  </si>
  <si>
    <t>0.8081546188035259</t>
  </si>
  <si>
    <t>0.8127271560512395</t>
  </si>
  <si>
    <t>0.5987436906600833</t>
  </si>
  <si>
    <t>0.6087876469475192</t>
  </si>
  <si>
    <t>0.6142036940078602</t>
  </si>
  <si>
    <t>0.612135941710878</t>
  </si>
  <si>
    <t>0.6453378208360697</t>
  </si>
  <si>
    <t>0.5996505538582143</t>
  </si>
  <si>
    <t>0.5988352236816772</t>
  </si>
  <si>
    <t>0.6007203016809692</t>
  </si>
  <si>
    <t>0.6114804360632379</t>
  </si>
  <si>
    <t>0.8797052173983902</t>
  </si>
  <si>
    <t>0.8838751231103239</t>
  </si>
  <si>
    <t>0.9261081860776033</t>
  </si>
  <si>
    <t>0.8927730199867775</t>
  </si>
  <si>
    <t>0.8005752371195337</t>
  </si>
  <si>
    <t>0.8186974490105745</t>
  </si>
  <si>
    <t>0.8530683015771059</t>
  </si>
  <si>
    <t>0.8449304344546427</t>
  </si>
  <si>
    <t>0.8083939937643403</t>
  </si>
  <si>
    <t>893.0</t>
  </si>
  <si>
    <t>892.97</t>
  </si>
  <si>
    <t>963.2</t>
  </si>
  <si>
    <t>0.9272</t>
  </si>
  <si>
    <t>0.9670</t>
  </si>
  <si>
    <t>0.8522</t>
  </si>
  <si>
    <t>0.9646</t>
  </si>
  <si>
    <t>0.9164</t>
  </si>
  <si>
    <t>0.8789</t>
  </si>
  <si>
    <t>1.0057</t>
  </si>
  <si>
    <t>0.8312</t>
  </si>
  <si>
    <t>0.8620</t>
  </si>
  <si>
    <t>0.7743</t>
  </si>
  <si>
    <t>0.8061</t>
  </si>
  <si>
    <t>0.7993</t>
  </si>
  <si>
    <t>0.8357</t>
  </si>
  <si>
    <t>0.7912</t>
  </si>
  <si>
    <t>0.7720</t>
  </si>
  <si>
    <t>0.8050</t>
  </si>
  <si>
    <t>0.7897</t>
  </si>
  <si>
    <t>0.8277</t>
  </si>
  <si>
    <t>0.9295</t>
  </si>
  <si>
    <t>0.9397</t>
  </si>
  <si>
    <t>0.9420</t>
  </si>
  <si>
    <t>0.9549</t>
  </si>
  <si>
    <t>0.9368</t>
  </si>
  <si>
    <t>0.9284</t>
  </si>
  <si>
    <t>0.9352</t>
  </si>
  <si>
    <t>0.9227</t>
  </si>
  <si>
    <t>0.9606</t>
  </si>
  <si>
    <t>0.5980</t>
  </si>
  <si>
    <t>0.4021</t>
  </si>
  <si>
    <t>0.7022</t>
  </si>
  <si>
    <t>0.8258</t>
  </si>
  <si>
    <t>0.9628</t>
  </si>
  <si>
    <t>651.3</t>
  </si>
  <si>
    <t>651.26</t>
  </si>
  <si>
    <t>878.6</t>
  </si>
  <si>
    <t>0.9236</t>
  </si>
  <si>
    <t>0.9493</t>
  </si>
  <si>
    <t>0.9833</t>
  </si>
  <si>
    <t>1.1523</t>
  </si>
  <si>
    <t>0.8884</t>
  </si>
  <si>
    <t>0.9230</t>
  </si>
  <si>
    <t>0.9296</t>
  </si>
  <si>
    <t>1.0018</t>
  </si>
  <si>
    <t>1.1311</t>
  </si>
  <si>
    <t>0.8735</t>
  </si>
  <si>
    <t>0.8902</t>
  </si>
  <si>
    <t>0.9016</t>
  </si>
  <si>
    <t>0.8819</t>
  </si>
  <si>
    <t>0.8944</t>
  </si>
  <si>
    <t>0.9069</t>
  </si>
  <si>
    <t>0.9023</t>
  </si>
  <si>
    <t>0.9845</t>
  </si>
  <si>
    <t>0.9839</t>
  </si>
  <si>
    <t>0.9860</t>
  </si>
  <si>
    <t>0.9791</t>
  </si>
  <si>
    <t>0.9869</t>
  </si>
  <si>
    <t>0.9922</t>
  </si>
  <si>
    <t>0.9857</t>
  </si>
  <si>
    <t>0.9842</t>
  </si>
  <si>
    <t>0.7949</t>
  </si>
  <si>
    <t>0.6961</t>
  </si>
  <si>
    <t>1001.9</t>
  </si>
  <si>
    <t>1001.88</t>
  </si>
  <si>
    <t>853.6</t>
  </si>
  <si>
    <t>1.0152</t>
  </si>
  <si>
    <t>0.9184</t>
  </si>
  <si>
    <t>0.8881</t>
  </si>
  <si>
    <t>1.1154</t>
  </si>
  <si>
    <t>0.8888</t>
  </si>
  <si>
    <t>0.8759</t>
  </si>
  <si>
    <t>0.8893</t>
  </si>
  <si>
    <t>0.9738</t>
  </si>
  <si>
    <t>1.0876</t>
  </si>
  <si>
    <t>0.8269</t>
  </si>
  <si>
    <t>0.8508</t>
  </si>
  <si>
    <t>0.8622</t>
  </si>
  <si>
    <t>0.8388</t>
  </si>
  <si>
    <t>0.8048</t>
  </si>
  <si>
    <t>0.8129</t>
  </si>
  <si>
    <t>0.8176</t>
  </si>
  <si>
    <t>0.8471</t>
  </si>
  <si>
    <t>0.9878</t>
  </si>
  <si>
    <t>0.9907</t>
  </si>
  <si>
    <t>0.9855</t>
  </si>
  <si>
    <t>0.9975</t>
  </si>
  <si>
    <t>0.9784</t>
  </si>
  <si>
    <t>0.9843</t>
  </si>
  <si>
    <t>0.9897</t>
  </si>
  <si>
    <t>0.8811</t>
  </si>
  <si>
    <t>0.9235</t>
  </si>
  <si>
    <t>0.9245</t>
  </si>
  <si>
    <t>0.6821</t>
  </si>
  <si>
    <t>0.6042</t>
  </si>
  <si>
    <t>0.9651</t>
  </si>
  <si>
    <t>0.9690</t>
  </si>
  <si>
    <t>0.8774</t>
  </si>
  <si>
    <t>0.9632</t>
  </si>
  <si>
    <t>0.9780</t>
  </si>
  <si>
    <t>0.9879</t>
  </si>
  <si>
    <t>0.9939</t>
  </si>
  <si>
    <t>0.9919</t>
  </si>
  <si>
    <t>0.6113</t>
  </si>
  <si>
    <t>0.9175</t>
  </si>
  <si>
    <t>0.8340</t>
  </si>
  <si>
    <t>0.8911</t>
  </si>
  <si>
    <t>2407.28</t>
  </si>
  <si>
    <t>1664.0</t>
  </si>
  <si>
    <t>0.7230</t>
  </si>
  <si>
    <t>0.7405</t>
  </si>
  <si>
    <t>0.6168</t>
  </si>
  <si>
    <t>0.8710</t>
  </si>
  <si>
    <t>0.9103</t>
  </si>
  <si>
    <t>0.9730</t>
  </si>
  <si>
    <t>0.9286</t>
  </si>
  <si>
    <t>1.1628</t>
  </si>
  <si>
    <t>0.6934</t>
  </si>
  <si>
    <t>0.6744</t>
  </si>
  <si>
    <t>0.6612</t>
  </si>
  <si>
    <t>0.7125</t>
  </si>
  <si>
    <t>0.7796</t>
  </si>
  <si>
    <t>0.7410</t>
  </si>
  <si>
    <t>0.7363</t>
  </si>
  <si>
    <t>0.7368</t>
  </si>
  <si>
    <t>0.7508</t>
  </si>
  <si>
    <t>0.8938</t>
  </si>
  <si>
    <t>0.9070</t>
  </si>
  <si>
    <t>0.8726</t>
  </si>
  <si>
    <t>1.0306</t>
  </si>
  <si>
    <t>0.9752</t>
  </si>
  <si>
    <t>0.9567</t>
  </si>
  <si>
    <t>0.9699</t>
  </si>
  <si>
    <t>1009.5</t>
  </si>
  <si>
    <t>1009.47</t>
  </si>
  <si>
    <t>1229.2</t>
  </si>
  <si>
    <t>0.3692</t>
  </si>
  <si>
    <t>0.4321</t>
  </si>
  <si>
    <t>0.3926</t>
  </si>
  <si>
    <t>0.5471</t>
  </si>
  <si>
    <t>0.3625</t>
  </si>
  <si>
    <t>0.3614</t>
  </si>
  <si>
    <t>0.4306</t>
  </si>
  <si>
    <t>0.4810</t>
  </si>
  <si>
    <t>0.2668</t>
  </si>
  <si>
    <t>0.3162</t>
  </si>
  <si>
    <t>0.2720</t>
  </si>
  <si>
    <t>0.4124</t>
  </si>
  <si>
    <t>0.2548</t>
  </si>
  <si>
    <t>0.2538</t>
  </si>
  <si>
    <t>0.3120</t>
  </si>
  <si>
    <t>0.2647</t>
  </si>
  <si>
    <t>0.4072</t>
  </si>
  <si>
    <t>0.2268</t>
  </si>
  <si>
    <t>0.6869</t>
  </si>
  <si>
    <t>0.7202</t>
  </si>
  <si>
    <t>0.6994</t>
  </si>
  <si>
    <t>0.8175</t>
  </si>
  <si>
    <t>0.6786</t>
  </si>
  <si>
    <t>0.6771</t>
  </si>
  <si>
    <t>0.7285</t>
  </si>
  <si>
    <t>0.6953</t>
  </si>
  <si>
    <t>0.8138</t>
  </si>
  <si>
    <t>0.9726</t>
  </si>
  <si>
    <t>1127.3</t>
  </si>
  <si>
    <t>1127.34</t>
  </si>
  <si>
    <t>1114.1</t>
  </si>
  <si>
    <t>0.8167</t>
  </si>
  <si>
    <t>0.8835</t>
  </si>
  <si>
    <t>0.6753</t>
  </si>
  <si>
    <t>0.6730</t>
  </si>
  <si>
    <t>0.7534</t>
  </si>
  <si>
    <t>0.6640</t>
  </si>
  <si>
    <t>0.9156</t>
  </si>
  <si>
    <t>0.6092</t>
  </si>
  <si>
    <t>0.7092</t>
  </si>
  <si>
    <t>0.6177</t>
  </si>
  <si>
    <t>0.5912</t>
  </si>
  <si>
    <t>0.6996</t>
  </si>
  <si>
    <t>0.6022</t>
  </si>
  <si>
    <t>0.9548</t>
  </si>
  <si>
    <t>0.9849</t>
  </si>
  <si>
    <t>0.9719</t>
  </si>
  <si>
    <t>0.9488</t>
  </si>
  <si>
    <t>0.9292</t>
  </si>
  <si>
    <t>0.9720</t>
  </si>
  <si>
    <t>0.9302</t>
  </si>
  <si>
    <t>0.9648</t>
  </si>
  <si>
    <t>0.8231</t>
  </si>
  <si>
    <t>1867.5</t>
  </si>
  <si>
    <t>1867.52</t>
  </si>
  <si>
    <t>1292.6</t>
  </si>
  <si>
    <t>0.8679</t>
  </si>
  <si>
    <t>0.9492</t>
  </si>
  <si>
    <t>0.8742</t>
  </si>
  <si>
    <t>1.5220</t>
  </si>
  <si>
    <t>1.0127</t>
  </si>
  <si>
    <t>0.9256</t>
  </si>
  <si>
    <t>1.1369</t>
  </si>
  <si>
    <t>1.1169</t>
  </si>
  <si>
    <t>2.2783</t>
  </si>
  <si>
    <t>0.9009</t>
  </si>
  <si>
    <t>0.8868</t>
  </si>
  <si>
    <t>0.9036</t>
  </si>
  <si>
    <t>0.8826</t>
  </si>
  <si>
    <t>0.9464</t>
  </si>
  <si>
    <t>0.9426</t>
  </si>
  <si>
    <t>0.9140</t>
  </si>
  <si>
    <t>0.9030</t>
  </si>
  <si>
    <t>0.9885</t>
  </si>
  <si>
    <t>0.9785</t>
  </si>
  <si>
    <t>0.9948</t>
  </si>
  <si>
    <t>1.0017</t>
  </si>
  <si>
    <t>1.0183</t>
  </si>
  <si>
    <t>1.0237</t>
  </si>
  <si>
    <t>1.0115</t>
  </si>
  <si>
    <t>1561.5</t>
  </si>
  <si>
    <t>1561.52</t>
  </si>
  <si>
    <t>1128.6</t>
  </si>
  <si>
    <t>1.5409</t>
  </si>
  <si>
    <t>1.9132</t>
  </si>
  <si>
    <t>1.3217</t>
  </si>
  <si>
    <t>2.2044</t>
  </si>
  <si>
    <t>1.6184</t>
  </si>
  <si>
    <t>1.7535</t>
  </si>
  <si>
    <t>1.4782</t>
  </si>
  <si>
    <t>1.5956</t>
  </si>
  <si>
    <t>1.7840</t>
  </si>
  <si>
    <t>0.9359</t>
  </si>
  <si>
    <t>0.9276</t>
  </si>
  <si>
    <t>0.9283</t>
  </si>
  <si>
    <t>0.9144</t>
  </si>
  <si>
    <t>0.9174</t>
  </si>
  <si>
    <t>0.9271</t>
  </si>
  <si>
    <t>0.9185</t>
  </si>
  <si>
    <t>0.9904</t>
  </si>
  <si>
    <t>0.9977</t>
  </si>
  <si>
    <t>0.9958</t>
  </si>
  <si>
    <t>0.9947</t>
  </si>
  <si>
    <t>0.9940</t>
  </si>
  <si>
    <t>0.9963</t>
  </si>
  <si>
    <t>1359.4</t>
  </si>
  <si>
    <t>1359.37</t>
  </si>
  <si>
    <t>1257.0</t>
  </si>
  <si>
    <t>0.5136</t>
  </si>
  <si>
    <t>0.3953</t>
  </si>
  <si>
    <t>0.7229</t>
  </si>
  <si>
    <t>0.4240</t>
  </si>
  <si>
    <t>0.3992</t>
  </si>
  <si>
    <t>0.5034</t>
  </si>
  <si>
    <t>0.4191</t>
  </si>
  <si>
    <t>0.7485</t>
  </si>
  <si>
    <t>0.3232</t>
  </si>
  <si>
    <t>0.5334</t>
  </si>
  <si>
    <t>0.3319</t>
  </si>
  <si>
    <t>0.4743</t>
  </si>
  <si>
    <t>0.4032</t>
  </si>
  <si>
    <t>0.3421</t>
  </si>
  <si>
    <t>0.5237</t>
  </si>
  <si>
    <t>0.3721</t>
  </si>
  <si>
    <t>0.4942</t>
  </si>
  <si>
    <t>0.9055</t>
  </si>
  <si>
    <t>0.7917</t>
  </si>
  <si>
    <t>0.8285</t>
  </si>
  <si>
    <t>0.8900</t>
  </si>
  <si>
    <t>0.8739</t>
  </si>
  <si>
    <t>0.8009</t>
  </si>
  <si>
    <t>0.8227</t>
  </si>
  <si>
    <t>951.6</t>
  </si>
  <si>
    <t>951.59</t>
  </si>
  <si>
    <t>1191.1</t>
  </si>
  <si>
    <t>0.6522</t>
  </si>
  <si>
    <t>0.8678</t>
  </si>
  <si>
    <t>0.7096</t>
  </si>
  <si>
    <t>1.0198</t>
  </si>
  <si>
    <t>0.7032</t>
  </si>
  <si>
    <t>0.6758</t>
  </si>
  <si>
    <t>0.8113</t>
  </si>
  <si>
    <t>0.7134</t>
  </si>
  <si>
    <t>1.1133</t>
  </si>
  <si>
    <t>0.5642</t>
  </si>
  <si>
    <t>0.6838</t>
  </si>
  <si>
    <t>0.6509</t>
  </si>
  <si>
    <t>0.6494</t>
  </si>
  <si>
    <t>0.7275</t>
  </si>
  <si>
    <t>0.6941</t>
  </si>
  <si>
    <t>0.7777</t>
  </si>
  <si>
    <t>0.9275</t>
  </si>
  <si>
    <t>0.9600</t>
  </si>
  <si>
    <t>0.9407</t>
  </si>
  <si>
    <t>0.9433</t>
  </si>
  <si>
    <t>0.9285</t>
  </si>
  <si>
    <t>0.9642</t>
  </si>
  <si>
    <t>915.9</t>
  </si>
  <si>
    <t>915.90</t>
  </si>
  <si>
    <t>1140.5</t>
  </si>
  <si>
    <t>1.0167</t>
  </si>
  <si>
    <t>1.0842</t>
  </si>
  <si>
    <t>1.0368</t>
  </si>
  <si>
    <t>1.6603</t>
  </si>
  <si>
    <t>0.9323</t>
  </si>
  <si>
    <t>0.9890</t>
  </si>
  <si>
    <t>0.9183</t>
  </si>
  <si>
    <t>0.9110</t>
  </si>
  <si>
    <t>1.0210</t>
  </si>
  <si>
    <t>0.8278</t>
  </si>
  <si>
    <t>0.8613</t>
  </si>
  <si>
    <t>0.8407</t>
  </si>
  <si>
    <t>0.8597</t>
  </si>
  <si>
    <t>0.8310</t>
  </si>
  <si>
    <t>0.8274</t>
  </si>
  <si>
    <t>0.8480</t>
  </si>
  <si>
    <t>0.8427</t>
  </si>
  <si>
    <t>0.9910</t>
  </si>
  <si>
    <t>0.9875</t>
  </si>
  <si>
    <t>0.9737</t>
  </si>
  <si>
    <t>0.9955</t>
  </si>
  <si>
    <t>0.9809</t>
  </si>
  <si>
    <t>1616.7</t>
  </si>
  <si>
    <t>1616.71</t>
  </si>
  <si>
    <t>1501.3</t>
  </si>
  <si>
    <t>1.0744</t>
  </si>
  <si>
    <t>1.2874</t>
  </si>
  <si>
    <t>1.0129</t>
  </si>
  <si>
    <t>1.8351</t>
  </si>
  <si>
    <t>0.9655</t>
  </si>
  <si>
    <t>1.0839</t>
  </si>
  <si>
    <t>1.3098</t>
  </si>
  <si>
    <t>1.8279</t>
  </si>
  <si>
    <t>0.8541</t>
  </si>
  <si>
    <t>0.8951</t>
  </si>
  <si>
    <t>0.8732</t>
  </si>
  <si>
    <t>0.8970</t>
  </si>
  <si>
    <t>0.8918</t>
  </si>
  <si>
    <t>0.9200</t>
  </si>
  <si>
    <t>0.9104</t>
  </si>
  <si>
    <t>0.9924</t>
  </si>
  <si>
    <t>0.9933</t>
  </si>
  <si>
    <t>0.9962</t>
  </si>
  <si>
    <t>0.9880</t>
  </si>
  <si>
    <t>0.9938</t>
  </si>
  <si>
    <t>38.13</t>
  </si>
  <si>
    <t>0.2062</t>
  </si>
  <si>
    <t>0.1237</t>
  </si>
  <si>
    <t>0.1753</t>
  </si>
  <si>
    <t>0.0928</t>
  </si>
  <si>
    <t>0.5567</t>
  </si>
  <si>
    <t>0.2990</t>
  </si>
  <si>
    <t>0.2474</t>
  </si>
  <si>
    <t>0.1134</t>
  </si>
  <si>
    <t>0.3402</t>
  </si>
  <si>
    <t>0.1443</t>
  </si>
  <si>
    <t>0.3093</t>
  </si>
  <si>
    <t>0.2371</t>
  </si>
  <si>
    <t>0.1031</t>
  </si>
  <si>
    <t>0.1649</t>
  </si>
  <si>
    <t>0.1546</t>
  </si>
  <si>
    <t>0.1340</t>
  </si>
  <si>
    <t>0.2165</t>
  </si>
  <si>
    <t>0.2784</t>
  </si>
  <si>
    <t>0.2680</t>
  </si>
  <si>
    <t>0.1959</t>
  </si>
  <si>
    <t>45.49</t>
  </si>
  <si>
    <t>0.0825</t>
  </si>
  <si>
    <t>Összátlag:</t>
  </si>
  <si>
    <t>Whisper:</t>
  </si>
  <si>
    <t>Beast:</t>
  </si>
  <si>
    <t>MMS: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</si>
</sst>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0"/>
      <color theme="1"/>
      <name val="Arial"/>
      <family val="2"/>
      <charset val="238"/>
    </font>
    <font>
      <b/>
      <sz val="16"/>
      <color theme="1"/>
      <name val="Calibri"/>
      <family val="2"/>
      <charset val="238"/>
      <scheme val="minor"/>
    </font>
    <font>
      <b/>
      <sz val="14"/>
      <color theme="1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4CCCC"/>
        <bgColor indexed="64"/>
      </patternFill>
    </fill>
    <fill>
      <patternFill patternType="solid">
        <fgColor rgb="FFFCE5CD"/>
        <bgColor indexed="64"/>
      </patternFill>
    </fill>
  </fills>
  <borders count="18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/>
      <top/>
      <bottom style="thick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right" wrapText="1"/>
    </xf>
    <xf numFmtId="0" fontId="2" fillId="0" borderId="3" xfId="0" applyFont="1" applyBorder="1" applyAlignment="1">
      <alignment wrapText="1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5" xfId="0" applyFont="1" applyBorder="1" applyAlignment="1">
      <alignment wrapText="1"/>
    </xf>
    <xf numFmtId="0" fontId="0" fillId="2" borderId="9" xfId="0" applyFill="1" applyBorder="1"/>
    <xf numFmtId="0" fontId="0" fillId="0" borderId="9" xfId="0" applyBorder="1"/>
    <xf numFmtId="0" fontId="2" fillId="3" borderId="1" xfId="0" applyFont="1" applyFill="1" applyBorder="1" applyAlignment="1">
      <alignment horizontal="right" wrapText="1"/>
    </xf>
    <xf numFmtId="0" fontId="2" fillId="4" borderId="1" xfId="0" applyFont="1" applyFill="1" applyBorder="1" applyAlignment="1">
      <alignment horizontal="right" wrapText="1"/>
    </xf>
    <xf numFmtId="16" fontId="0" fillId="0" borderId="0" xfId="0" applyNumberFormat="1"/>
    <xf numFmtId="17" fontId="2" fillId="0" borderId="1" xfId="0" applyNumberFormat="1" applyFont="1" applyBorder="1" applyAlignment="1">
      <alignment horizontal="right" wrapText="1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4" fillId="0" borderId="6" xfId="0" applyFont="1" applyBorder="1" applyAlignment="1">
      <alignment horizontal="center" wrapText="1"/>
    </xf>
    <xf numFmtId="0" fontId="4" fillId="0" borderId="7" xfId="0" applyFont="1" applyBorder="1" applyAlignment="1">
      <alignment horizontal="center" wrapText="1"/>
    </xf>
    <xf numFmtId="0" fontId="4" fillId="0" borderId="8" xfId="0" applyFont="1" applyBorder="1" applyAlignment="1">
      <alignment horizontal="center" wrapText="1"/>
    </xf>
    <xf numFmtId="0" fontId="0" fillId="0" borderId="17" xfId="0" applyBorder="1"/>
  </cellXfs>
  <cellStyles count="1">
    <cellStyle name="Normál" xfId="0" builtinId="0"/>
  </cellStyles>
  <dxfs count="6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F9DBDB2A-10C6-43E8-861F-987FBFB7AFBF}" autoFormatId="16" applyNumberFormats="0" applyBorderFormats="0" applyFontFormats="0" applyPatternFormats="0" applyAlignmentFormats="0" applyWidthHeightFormats="0">
  <queryTableRefresh nextId="33">
    <queryTableFields count="3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6422FF00-7A1D-4101-9EB0-E61AA4F98A5B}" autoFormatId="16" applyNumberFormats="0" applyBorderFormats="0" applyFontFormats="0" applyPatternFormats="0" applyAlignmentFormats="0" applyWidthHeightFormats="0">
  <queryTableRefresh nextId="33">
    <queryTableFields count="3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B75254F-851B-424F-8AA6-6ACEDD3AA030}" name="cer_counts__3" displayName="cer_counts__3" ref="A1:AF15" tableType="queryTable" totalsRowShown="0">
  <autoFilter ref="A1:AF15" xr:uid="{0B75254F-851B-424F-8AA6-6ACEDD3AA030}"/>
  <tableColumns count="32">
    <tableColumn id="1" xr3:uid="{19A86490-33F2-473B-9FD0-F51347B70B5A}" uniqueName="1" name="Column1" queryTableFieldId="1" dataDxfId="63"/>
    <tableColumn id="2" xr3:uid="{16D5B722-186D-4751-8FBF-5FC27F6D80E3}" uniqueName="2" name="Column2" queryTableFieldId="2" dataDxfId="62"/>
    <tableColumn id="3" xr3:uid="{9AA340EF-D8BD-4FBD-BF09-4EBF5575B86F}" uniqueName="3" name="Column3" queryTableFieldId="3" dataDxfId="61"/>
    <tableColumn id="4" xr3:uid="{08A16E92-35BE-4F0B-9272-D5BAF16D32F4}" uniqueName="4" name="Column4" queryTableFieldId="4" dataDxfId="60"/>
    <tableColumn id="5" xr3:uid="{50CC5F4F-5DEF-4769-8C5B-0AB3E3687A7B}" uniqueName="5" name="Column5" queryTableFieldId="5" dataDxfId="59"/>
    <tableColumn id="6" xr3:uid="{5CF2BD62-ED45-4A43-AA74-E021BDAB5497}" uniqueName="6" name="Column6" queryTableFieldId="6" dataDxfId="58"/>
    <tableColumn id="7" xr3:uid="{2FEE5932-FA75-41E5-9650-229698181247}" uniqueName="7" name="Column7" queryTableFieldId="7" dataDxfId="57"/>
    <tableColumn id="8" xr3:uid="{AB1829E8-98F9-44A7-8BB3-D8DA2971004E}" uniqueName="8" name="Column8" queryTableFieldId="8" dataDxfId="56"/>
    <tableColumn id="9" xr3:uid="{FBD2EDDF-F8CD-4782-812E-EF2476151167}" uniqueName="9" name="Column9" queryTableFieldId="9" dataDxfId="55"/>
    <tableColumn id="10" xr3:uid="{EF1815A9-AB50-441F-8CD6-B54886CCEEC9}" uniqueName="10" name="Column10" queryTableFieldId="10" dataDxfId="54"/>
    <tableColumn id="11" xr3:uid="{E7F1BCE8-C8AA-4AFE-963A-C21ACB5A71AA}" uniqueName="11" name="Column11" queryTableFieldId="11" dataDxfId="53"/>
    <tableColumn id="12" xr3:uid="{8ED1A192-9060-4661-8377-E8DA91754644}" uniqueName="12" name="Column12" queryTableFieldId="12" dataDxfId="52"/>
    <tableColumn id="13" xr3:uid="{9B1F7C65-4C41-48AB-BB0E-9A21DAC9F895}" uniqueName="13" name="Column13" queryTableFieldId="13" dataDxfId="51"/>
    <tableColumn id="14" xr3:uid="{E8B71583-B8E2-4B9C-929A-85B38826C5EB}" uniqueName="14" name="Column14" queryTableFieldId="14" dataDxfId="50"/>
    <tableColumn id="15" xr3:uid="{7F443793-8E4A-433C-98D8-32E0AD582FC1}" uniqueName="15" name="Column15" queryTableFieldId="15" dataDxfId="49"/>
    <tableColumn id="16" xr3:uid="{9C0A9395-8039-4246-8195-72D7463D01D6}" uniqueName="16" name="Column16" queryTableFieldId="16" dataDxfId="48"/>
    <tableColumn id="17" xr3:uid="{2C777893-5FB5-4F8A-96FD-AC77937918D1}" uniqueName="17" name="Column17" queryTableFieldId="17" dataDxfId="47"/>
    <tableColumn id="18" xr3:uid="{95561E67-48BC-401F-BD68-08F0FA87B19D}" uniqueName="18" name="Column18" queryTableFieldId="18" dataDxfId="46"/>
    <tableColumn id="19" xr3:uid="{67D7460B-63CB-419B-BB83-EC7F50B048AC}" uniqueName="19" name="Column19" queryTableFieldId="19" dataDxfId="45"/>
    <tableColumn id="20" xr3:uid="{47710668-C4EB-4076-896D-C0F33BBC2F3E}" uniqueName="20" name="Column20" queryTableFieldId="20" dataDxfId="44"/>
    <tableColumn id="21" xr3:uid="{B0BC1364-D33A-4694-A5A0-E148EDD0DAC0}" uniqueName="21" name="Column21" queryTableFieldId="21" dataDxfId="43"/>
    <tableColumn id="22" xr3:uid="{A942F874-F334-4B72-93BF-965215A80237}" uniqueName="22" name="Column22" queryTableFieldId="22" dataDxfId="42"/>
    <tableColumn id="23" xr3:uid="{AEB7BE01-9AA8-483B-886B-B9453F1DB4A6}" uniqueName="23" name="Column23" queryTableFieldId="23" dataDxfId="41"/>
    <tableColumn id="24" xr3:uid="{F781FA4E-0619-44AE-B5BC-C36042EA72C9}" uniqueName="24" name="Column24" queryTableFieldId="24" dataDxfId="40"/>
    <tableColumn id="25" xr3:uid="{3F6FB004-964C-4803-8FA1-8A70FD1894B8}" uniqueName="25" name="Column25" queryTableFieldId="25" dataDxfId="39"/>
    <tableColumn id="26" xr3:uid="{E72AB797-3E9E-4D4D-A151-90E78A77ABBD}" uniqueName="26" name="Column26" queryTableFieldId="26" dataDxfId="38"/>
    <tableColumn id="27" xr3:uid="{3E8D03D0-9E11-4533-8D3C-0640A75A67C0}" uniqueName="27" name="Column27" queryTableFieldId="27" dataDxfId="37"/>
    <tableColumn id="28" xr3:uid="{568A57F3-D6A0-4DF8-AEE6-BBD9D8AECE0E}" uniqueName="28" name="Column28" queryTableFieldId="28" dataDxfId="36"/>
    <tableColumn id="29" xr3:uid="{8BC90A05-4D6F-4048-9E15-CEE4D18836A7}" uniqueName="29" name="Column29" queryTableFieldId="29" dataDxfId="35"/>
    <tableColumn id="30" xr3:uid="{8015BC92-1FCD-40FF-9F7D-9577357A50D1}" uniqueName="30" name="Column30" queryTableFieldId="30" dataDxfId="34"/>
    <tableColumn id="31" xr3:uid="{D3613C1C-FC57-4257-B591-8AF2B463A83E}" uniqueName="31" name="Column31" queryTableFieldId="31" dataDxfId="33"/>
    <tableColumn id="32" xr3:uid="{0EB65648-B2E0-4AD8-A8FB-F0E9C76428FB}" uniqueName="32" name="Column32" queryTableFieldId="32" dataDxfId="3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08193B-A09A-4F0C-9318-18BE87C84026}" name="wer_counts__4" displayName="wer_counts__4" ref="A1:AF15" tableType="queryTable" totalsRowShown="0">
  <autoFilter ref="A1:AF15" xr:uid="{E108193B-A09A-4F0C-9318-18BE87C84026}"/>
  <tableColumns count="32">
    <tableColumn id="1" xr3:uid="{7ED7E021-6D73-4136-B79C-F206EA47B061}" uniqueName="1" name="Column1" queryTableFieldId="1" dataDxfId="31"/>
    <tableColumn id="2" xr3:uid="{314B3092-56CB-4DDA-9B38-BCA757A706D4}" uniqueName="2" name="Column2" queryTableFieldId="2" dataDxfId="30"/>
    <tableColumn id="3" xr3:uid="{E8E92337-8765-4EA4-863A-DCC92330BE34}" uniqueName="3" name="Column3" queryTableFieldId="3" dataDxfId="29"/>
    <tableColumn id="4" xr3:uid="{97C978F9-8DB2-43E1-A8F8-F519700DE02E}" uniqueName="4" name="Column4" queryTableFieldId="4" dataDxfId="28"/>
    <tableColumn id="5" xr3:uid="{45B5BF74-45CE-4F78-B3C7-92CC892E64C9}" uniqueName="5" name="Column5" queryTableFieldId="5" dataDxfId="27"/>
    <tableColumn id="6" xr3:uid="{5AC6492C-A6A2-497D-ACE7-DC4DE23B538B}" uniqueName="6" name="Column6" queryTableFieldId="6" dataDxfId="26"/>
    <tableColumn id="7" xr3:uid="{E59F38CB-09C6-489E-BEF6-721576EBA438}" uniqueName="7" name="Column7" queryTableFieldId="7" dataDxfId="25"/>
    <tableColumn id="8" xr3:uid="{8C284F91-9B0A-43D5-A45A-C7D8EDE993CA}" uniqueName="8" name="Column8" queryTableFieldId="8" dataDxfId="24"/>
    <tableColumn id="9" xr3:uid="{9A299EB1-D36A-49FB-84AE-FEE8BAB54603}" uniqueName="9" name="Column9" queryTableFieldId="9" dataDxfId="23"/>
    <tableColumn id="10" xr3:uid="{D3FF2CCD-1FE2-4BEB-BF09-1715DC69FBAF}" uniqueName="10" name="Column10" queryTableFieldId="10" dataDxfId="22"/>
    <tableColumn id="11" xr3:uid="{C118BAEC-DE26-43FF-A7C4-36E8DABAFEFE}" uniqueName="11" name="Column11" queryTableFieldId="11" dataDxfId="21"/>
    <tableColumn id="12" xr3:uid="{A169B7F7-D579-469B-94D2-B078A8BFB0AC}" uniqueName="12" name="Column12" queryTableFieldId="12" dataDxfId="20"/>
    <tableColumn id="13" xr3:uid="{DB6A44A2-E339-486D-9A2C-8DDC64B27676}" uniqueName="13" name="Column13" queryTableFieldId="13" dataDxfId="19"/>
    <tableColumn id="14" xr3:uid="{626ED715-E163-46BE-8569-000B682A2AE2}" uniqueName="14" name="Column14" queryTableFieldId="14" dataDxfId="18"/>
    <tableColumn id="15" xr3:uid="{86783A69-2499-4CA1-A8BE-66857ECF5468}" uniqueName="15" name="Column15" queryTableFieldId="15" dataDxfId="17"/>
    <tableColumn id="16" xr3:uid="{470FCC39-1E2D-4224-BB05-CE5D88F8E7AF}" uniqueName="16" name="Column16" queryTableFieldId="16" dataDxfId="16"/>
    <tableColumn id="17" xr3:uid="{A66FC2C8-2480-4A48-A095-CF8BF545EEEC}" uniqueName="17" name="Column17" queryTableFieldId="17" dataDxfId="15"/>
    <tableColumn id="18" xr3:uid="{DC1BF9BB-A989-46B4-85CF-581DEC3C27DA}" uniqueName="18" name="Column18" queryTableFieldId="18" dataDxfId="14"/>
    <tableColumn id="19" xr3:uid="{43023804-78CF-49CF-B248-C0C982381915}" uniqueName="19" name="Column19" queryTableFieldId="19" dataDxfId="13"/>
    <tableColumn id="20" xr3:uid="{488C1401-E9AA-4ACB-ABCD-FE976C82207F}" uniqueName="20" name="Column20" queryTableFieldId="20" dataDxfId="12"/>
    <tableColumn id="21" xr3:uid="{F1BB2582-2702-44D5-913B-D554605BDAD8}" uniqueName="21" name="Column21" queryTableFieldId="21" dataDxfId="11"/>
    <tableColumn id="22" xr3:uid="{E9170012-17C1-4392-AA16-C02D26786F05}" uniqueName="22" name="Column22" queryTableFieldId="22" dataDxfId="10"/>
    <tableColumn id="23" xr3:uid="{62A77425-2D7A-48D5-8BAB-6AFF7D8756C8}" uniqueName="23" name="Column23" queryTableFieldId="23" dataDxfId="9"/>
    <tableColumn id="24" xr3:uid="{849F957C-17E3-4601-AF0B-E81904D224D7}" uniqueName="24" name="Column24" queryTableFieldId="24" dataDxfId="8"/>
    <tableColumn id="25" xr3:uid="{35F50620-A731-48E7-9F7E-31039FD0C71E}" uniqueName="25" name="Column25" queryTableFieldId="25" dataDxfId="7"/>
    <tableColumn id="26" xr3:uid="{9B31FF98-952C-44B0-AFC6-8A59E44E9761}" uniqueName="26" name="Column26" queryTableFieldId="26" dataDxfId="6"/>
    <tableColumn id="27" xr3:uid="{6A059018-A628-4E2F-8FA5-BE646C671C6F}" uniqueName="27" name="Column27" queryTableFieldId="27" dataDxfId="5"/>
    <tableColumn id="28" xr3:uid="{AF057AAF-215C-43A6-A899-F0C46B652D3B}" uniqueName="28" name="Column28" queryTableFieldId="28" dataDxfId="4"/>
    <tableColumn id="29" xr3:uid="{5E62B2C3-E684-4CAE-9324-5F5994023623}" uniqueName="29" name="Column29" queryTableFieldId="29" dataDxfId="3"/>
    <tableColumn id="30" xr3:uid="{CAA7DBB2-0664-47A6-8F25-1EA667AC4259}" uniqueName="30" name="Column30" queryTableFieldId="30" dataDxfId="2"/>
    <tableColumn id="31" xr3:uid="{74648508-0BFC-4C80-B603-86782ED38E81}" uniqueName="31" name="Column31" queryTableFieldId="31" dataDxfId="1"/>
    <tableColumn id="32" xr3:uid="{06A557A8-8743-4D06-8449-F91F806C3FD9}" uniqueName="32" name="Column32" queryTableFieldId="3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C6089-A931-4B50-83DF-DFEB96F998C2}">
  <dimension ref="A1:AF15"/>
  <sheetViews>
    <sheetView topLeftCell="V1" workbookViewId="0">
      <selection activeCell="B2" sqref="B2:AD15"/>
    </sheetView>
  </sheetViews>
  <sheetFormatPr defaultRowHeight="15" x14ac:dyDescent="0.25"/>
  <cols>
    <col min="1" max="1" width="18.7109375" bestFit="1" customWidth="1"/>
    <col min="2" max="2" width="20.28515625" bestFit="1" customWidth="1"/>
    <col min="3" max="10" width="19.85546875" bestFit="1" customWidth="1"/>
    <col min="11" max="11" width="12.140625" bestFit="1" customWidth="1"/>
    <col min="12" max="12" width="20.85546875" bestFit="1" customWidth="1"/>
    <col min="13" max="13" width="19.85546875" bestFit="1" customWidth="1"/>
    <col min="14" max="16" width="20.85546875" bestFit="1" customWidth="1"/>
    <col min="17" max="17" width="19.85546875" bestFit="1" customWidth="1"/>
    <col min="18" max="20" width="20.85546875" bestFit="1" customWidth="1"/>
    <col min="21" max="21" width="12.140625" bestFit="1" customWidth="1"/>
    <col min="22" max="22" width="20.85546875" bestFit="1" customWidth="1"/>
    <col min="23" max="25" width="19.85546875" bestFit="1" customWidth="1"/>
    <col min="26" max="27" width="20.85546875" bestFit="1" customWidth="1"/>
    <col min="28" max="28" width="19.85546875" bestFit="1" customWidth="1"/>
    <col min="29" max="30" width="20.85546875" bestFit="1" customWidth="1"/>
    <col min="31" max="32" width="12.140625" bestFit="1" customWidth="1"/>
  </cols>
  <sheetData>
    <row r="1" spans="1:32" x14ac:dyDescent="0.25">
      <c r="A1" t="s">
        <v>85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  <c r="H1" t="s">
        <v>92</v>
      </c>
      <c r="I1" t="s">
        <v>93</v>
      </c>
      <c r="J1" t="s">
        <v>94</v>
      </c>
      <c r="K1" t="s">
        <v>95</v>
      </c>
      <c r="L1" t="s">
        <v>96</v>
      </c>
      <c r="M1" t="s">
        <v>97</v>
      </c>
      <c r="N1" t="s">
        <v>98</v>
      </c>
      <c r="O1" t="s">
        <v>99</v>
      </c>
      <c r="P1" t="s">
        <v>100</v>
      </c>
      <c r="Q1" t="s">
        <v>101</v>
      </c>
      <c r="R1" t="s">
        <v>102</v>
      </c>
      <c r="S1" t="s">
        <v>103</v>
      </c>
      <c r="T1" t="s">
        <v>104</v>
      </c>
      <c r="U1" t="s">
        <v>105</v>
      </c>
      <c r="V1" t="s">
        <v>106</v>
      </c>
      <c r="W1" t="s">
        <v>107</v>
      </c>
      <c r="X1" t="s">
        <v>108</v>
      </c>
      <c r="Y1" t="s">
        <v>109</v>
      </c>
      <c r="Z1" t="s">
        <v>110</v>
      </c>
      <c r="AA1" t="s">
        <v>111</v>
      </c>
      <c r="AB1" t="s">
        <v>112</v>
      </c>
      <c r="AC1" t="s">
        <v>113</v>
      </c>
      <c r="AD1" t="s">
        <v>114</v>
      </c>
      <c r="AE1" t="s">
        <v>118</v>
      </c>
      <c r="AF1" t="s">
        <v>119</v>
      </c>
    </row>
    <row r="2" spans="1:32" x14ac:dyDescent="0.25">
      <c r="A2" t="s">
        <v>549</v>
      </c>
      <c r="B2" t="s">
        <v>620</v>
      </c>
      <c r="C2" t="s">
        <v>621</v>
      </c>
      <c r="D2" t="s">
        <v>622</v>
      </c>
      <c r="E2" t="s">
        <v>623</v>
      </c>
      <c r="F2" t="s">
        <v>80</v>
      </c>
      <c r="G2" t="s">
        <v>63</v>
      </c>
      <c r="H2" t="s">
        <v>69</v>
      </c>
      <c r="I2" t="s">
        <v>73</v>
      </c>
      <c r="J2" t="s">
        <v>75</v>
      </c>
      <c r="K2" t="s">
        <v>116</v>
      </c>
      <c r="L2" t="s">
        <v>624</v>
      </c>
      <c r="M2" t="s">
        <v>625</v>
      </c>
      <c r="N2" t="s">
        <v>626</v>
      </c>
      <c r="O2" t="s">
        <v>627</v>
      </c>
      <c r="P2" t="s">
        <v>628</v>
      </c>
      <c r="Q2" t="s">
        <v>61</v>
      </c>
      <c r="R2" t="s">
        <v>629</v>
      </c>
      <c r="S2" t="s">
        <v>630</v>
      </c>
      <c r="T2" t="s">
        <v>631</v>
      </c>
      <c r="U2" t="s">
        <v>116</v>
      </c>
      <c r="V2" t="s">
        <v>632</v>
      </c>
      <c r="W2" t="s">
        <v>633</v>
      </c>
      <c r="X2" t="s">
        <v>634</v>
      </c>
      <c r="Y2" t="s">
        <v>635</v>
      </c>
      <c r="Z2" t="s">
        <v>82</v>
      </c>
      <c r="AA2" t="s">
        <v>65</v>
      </c>
      <c r="AB2" t="s">
        <v>67</v>
      </c>
      <c r="AC2" t="s">
        <v>71</v>
      </c>
      <c r="AD2" t="s">
        <v>77</v>
      </c>
      <c r="AE2" t="s">
        <v>116</v>
      </c>
      <c r="AF2" t="s">
        <v>117</v>
      </c>
    </row>
    <row r="3" spans="1:32" x14ac:dyDescent="0.25">
      <c r="A3" t="s">
        <v>562</v>
      </c>
      <c r="B3" t="s">
        <v>636</v>
      </c>
      <c r="C3" t="s">
        <v>637</v>
      </c>
      <c r="D3" t="s">
        <v>638</v>
      </c>
      <c r="E3" t="s">
        <v>639</v>
      </c>
      <c r="F3" t="s">
        <v>640</v>
      </c>
      <c r="G3" t="s">
        <v>641</v>
      </c>
      <c r="H3" t="s">
        <v>642</v>
      </c>
      <c r="I3" t="s">
        <v>643</v>
      </c>
      <c r="J3" t="s">
        <v>644</v>
      </c>
      <c r="K3" t="s">
        <v>116</v>
      </c>
      <c r="L3" t="s">
        <v>645</v>
      </c>
      <c r="M3" t="s">
        <v>646</v>
      </c>
      <c r="N3" t="s">
        <v>647</v>
      </c>
      <c r="O3" t="s">
        <v>648</v>
      </c>
      <c r="P3" t="s">
        <v>649</v>
      </c>
      <c r="Q3" t="s">
        <v>650</v>
      </c>
      <c r="R3" t="s">
        <v>651</v>
      </c>
      <c r="S3" t="s">
        <v>652</v>
      </c>
      <c r="T3" t="s">
        <v>653</v>
      </c>
      <c r="U3" t="s">
        <v>116</v>
      </c>
      <c r="V3" t="s">
        <v>654</v>
      </c>
      <c r="W3" t="s">
        <v>655</v>
      </c>
      <c r="X3" t="s">
        <v>656</v>
      </c>
      <c r="Y3" t="s">
        <v>657</v>
      </c>
      <c r="Z3" t="s">
        <v>658</v>
      </c>
      <c r="AA3" t="s">
        <v>659</v>
      </c>
      <c r="AB3" t="s">
        <v>660</v>
      </c>
      <c r="AC3" t="s">
        <v>661</v>
      </c>
      <c r="AD3" t="s">
        <v>662</v>
      </c>
      <c r="AE3" t="s">
        <v>116</v>
      </c>
      <c r="AF3" t="s">
        <v>117</v>
      </c>
    </row>
    <row r="4" spans="1:32" x14ac:dyDescent="0.25">
      <c r="A4" t="s">
        <v>120</v>
      </c>
      <c r="B4" t="s">
        <v>334</v>
      </c>
      <c r="C4" t="s">
        <v>335</v>
      </c>
      <c r="D4" t="s">
        <v>336</v>
      </c>
      <c r="E4" t="s">
        <v>337</v>
      </c>
      <c r="F4" t="s">
        <v>338</v>
      </c>
      <c r="G4" t="s">
        <v>339</v>
      </c>
      <c r="H4" t="s">
        <v>340</v>
      </c>
      <c r="I4" t="s">
        <v>341</v>
      </c>
      <c r="J4" t="s">
        <v>342</v>
      </c>
      <c r="K4" t="s">
        <v>116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350</v>
      </c>
      <c r="T4" t="s">
        <v>351</v>
      </c>
      <c r="U4" t="s">
        <v>116</v>
      </c>
      <c r="V4" t="s">
        <v>352</v>
      </c>
      <c r="W4" t="s">
        <v>353</v>
      </c>
      <c r="X4" t="s">
        <v>354</v>
      </c>
      <c r="Y4" t="s">
        <v>355</v>
      </c>
      <c r="Z4" t="s">
        <v>356</v>
      </c>
      <c r="AA4" t="s">
        <v>357</v>
      </c>
      <c r="AB4" t="s">
        <v>358</v>
      </c>
      <c r="AC4" t="s">
        <v>359</v>
      </c>
      <c r="AD4" t="s">
        <v>360</v>
      </c>
      <c r="AE4" t="s">
        <v>116</v>
      </c>
      <c r="AF4" t="s">
        <v>117</v>
      </c>
    </row>
    <row r="5" spans="1:32" x14ac:dyDescent="0.25">
      <c r="A5" t="s">
        <v>146</v>
      </c>
      <c r="B5" t="s">
        <v>361</v>
      </c>
      <c r="C5" t="s">
        <v>362</v>
      </c>
      <c r="D5" t="s">
        <v>363</v>
      </c>
      <c r="E5" t="s">
        <v>364</v>
      </c>
      <c r="F5" t="s">
        <v>365</v>
      </c>
      <c r="G5" t="s">
        <v>366</v>
      </c>
      <c r="H5" t="s">
        <v>367</v>
      </c>
      <c r="I5" t="s">
        <v>368</v>
      </c>
      <c r="J5" t="s">
        <v>369</v>
      </c>
      <c r="K5" t="s">
        <v>116</v>
      </c>
      <c r="L5" t="s">
        <v>370</v>
      </c>
      <c r="M5" t="s">
        <v>371</v>
      </c>
      <c r="N5" t="s">
        <v>372</v>
      </c>
      <c r="O5" t="s">
        <v>373</v>
      </c>
      <c r="P5" t="s">
        <v>374</v>
      </c>
      <c r="Q5" t="s">
        <v>375</v>
      </c>
      <c r="R5" t="s">
        <v>376</v>
      </c>
      <c r="S5" t="s">
        <v>377</v>
      </c>
      <c r="T5" t="s">
        <v>378</v>
      </c>
      <c r="U5" t="s">
        <v>116</v>
      </c>
      <c r="V5" t="s">
        <v>379</v>
      </c>
      <c r="W5" t="s">
        <v>380</v>
      </c>
      <c r="X5" t="s">
        <v>381</v>
      </c>
      <c r="Y5" t="s">
        <v>382</v>
      </c>
      <c r="Z5" t="s">
        <v>383</v>
      </c>
      <c r="AA5" t="s">
        <v>384</v>
      </c>
      <c r="AB5" t="s">
        <v>385</v>
      </c>
      <c r="AC5" t="s">
        <v>386</v>
      </c>
      <c r="AD5" t="s">
        <v>387</v>
      </c>
      <c r="AE5" t="s">
        <v>116</v>
      </c>
      <c r="AF5" t="s">
        <v>117</v>
      </c>
    </row>
    <row r="6" spans="1:32" x14ac:dyDescent="0.25">
      <c r="A6" t="s">
        <v>172</v>
      </c>
      <c r="B6" t="s">
        <v>388</v>
      </c>
      <c r="C6" t="s">
        <v>389</v>
      </c>
      <c r="D6" t="s">
        <v>390</v>
      </c>
      <c r="E6" t="s">
        <v>391</v>
      </c>
      <c r="F6" t="s">
        <v>392</v>
      </c>
      <c r="G6" t="s">
        <v>393</v>
      </c>
      <c r="H6" t="s">
        <v>394</v>
      </c>
      <c r="I6" t="s">
        <v>395</v>
      </c>
      <c r="J6" t="s">
        <v>396</v>
      </c>
      <c r="K6" t="s">
        <v>116</v>
      </c>
      <c r="L6" t="s">
        <v>397</v>
      </c>
      <c r="M6" t="s">
        <v>398</v>
      </c>
      <c r="N6" t="s">
        <v>399</v>
      </c>
      <c r="O6" t="s">
        <v>400</v>
      </c>
      <c r="P6" t="s">
        <v>401</v>
      </c>
      <c r="Q6" t="s">
        <v>402</v>
      </c>
      <c r="R6" t="s">
        <v>403</v>
      </c>
      <c r="S6" t="s">
        <v>404</v>
      </c>
      <c r="T6" t="s">
        <v>405</v>
      </c>
      <c r="U6" t="s">
        <v>116</v>
      </c>
      <c r="V6" t="s">
        <v>406</v>
      </c>
      <c r="W6" t="s">
        <v>407</v>
      </c>
      <c r="X6" t="s">
        <v>408</v>
      </c>
      <c r="Y6" t="s">
        <v>409</v>
      </c>
      <c r="Z6" t="s">
        <v>410</v>
      </c>
      <c r="AA6" t="s">
        <v>411</v>
      </c>
      <c r="AB6" t="s">
        <v>412</v>
      </c>
      <c r="AC6" t="s">
        <v>413</v>
      </c>
      <c r="AD6" t="s">
        <v>414</v>
      </c>
      <c r="AE6" t="s">
        <v>116</v>
      </c>
      <c r="AF6" t="s">
        <v>117</v>
      </c>
    </row>
    <row r="7" spans="1:32" x14ac:dyDescent="0.25">
      <c r="A7" t="s">
        <v>198</v>
      </c>
      <c r="B7" t="s">
        <v>415</v>
      </c>
      <c r="C7" t="s">
        <v>416</v>
      </c>
      <c r="D7" t="s">
        <v>417</v>
      </c>
      <c r="E7" t="s">
        <v>418</v>
      </c>
      <c r="F7" t="s">
        <v>419</v>
      </c>
      <c r="G7" t="s">
        <v>420</v>
      </c>
      <c r="H7" t="s">
        <v>421</v>
      </c>
      <c r="I7" t="s">
        <v>422</v>
      </c>
      <c r="J7" t="s">
        <v>423</v>
      </c>
      <c r="K7" t="s">
        <v>116</v>
      </c>
      <c r="L7" t="s">
        <v>424</v>
      </c>
      <c r="M7" t="s">
        <v>425</v>
      </c>
      <c r="N7" t="s">
        <v>426</v>
      </c>
      <c r="O7" t="s">
        <v>427</v>
      </c>
      <c r="P7" t="s">
        <v>428</v>
      </c>
      <c r="Q7" t="s">
        <v>429</v>
      </c>
      <c r="R7" t="s">
        <v>430</v>
      </c>
      <c r="S7" t="s">
        <v>431</v>
      </c>
      <c r="T7" t="s">
        <v>432</v>
      </c>
      <c r="U7" t="s">
        <v>116</v>
      </c>
      <c r="V7" t="s">
        <v>433</v>
      </c>
      <c r="W7" t="s">
        <v>434</v>
      </c>
      <c r="X7" t="s">
        <v>435</v>
      </c>
      <c r="Y7" t="s">
        <v>436</v>
      </c>
      <c r="Z7" t="s">
        <v>437</v>
      </c>
      <c r="AA7" t="s">
        <v>438</v>
      </c>
      <c r="AB7" t="s">
        <v>439</v>
      </c>
      <c r="AC7" t="s">
        <v>440</v>
      </c>
      <c r="AD7" t="s">
        <v>441</v>
      </c>
      <c r="AE7" t="s">
        <v>116</v>
      </c>
      <c r="AF7" t="s">
        <v>117</v>
      </c>
    </row>
    <row r="8" spans="1:32" x14ac:dyDescent="0.25">
      <c r="A8" t="s">
        <v>226</v>
      </c>
      <c r="B8" t="s">
        <v>442</v>
      </c>
      <c r="C8" t="s">
        <v>443</v>
      </c>
      <c r="D8" t="s">
        <v>444</v>
      </c>
      <c r="E8" t="s">
        <v>445</v>
      </c>
      <c r="F8" t="s">
        <v>446</v>
      </c>
      <c r="G8" t="s">
        <v>447</v>
      </c>
      <c r="H8" t="s">
        <v>448</v>
      </c>
      <c r="I8" t="s">
        <v>449</v>
      </c>
      <c r="J8" t="s">
        <v>450</v>
      </c>
      <c r="K8" t="s">
        <v>116</v>
      </c>
      <c r="L8" t="s">
        <v>451</v>
      </c>
      <c r="M8" t="s">
        <v>452</v>
      </c>
      <c r="N8" t="s">
        <v>453</v>
      </c>
      <c r="O8" t="s">
        <v>454</v>
      </c>
      <c r="P8" t="s">
        <v>455</v>
      </c>
      <c r="Q8" t="s">
        <v>456</v>
      </c>
      <c r="R8" t="s">
        <v>457</v>
      </c>
      <c r="S8" t="s">
        <v>458</v>
      </c>
      <c r="T8" t="s">
        <v>459</v>
      </c>
      <c r="U8" t="s">
        <v>116</v>
      </c>
      <c r="V8" t="s">
        <v>460</v>
      </c>
      <c r="W8" t="s">
        <v>461</v>
      </c>
      <c r="X8" t="s">
        <v>462</v>
      </c>
      <c r="Y8" t="s">
        <v>463</v>
      </c>
      <c r="Z8" t="s">
        <v>464</v>
      </c>
      <c r="AA8" t="s">
        <v>465</v>
      </c>
      <c r="AB8" t="s">
        <v>466</v>
      </c>
      <c r="AC8" t="s">
        <v>467</v>
      </c>
      <c r="AD8" t="s">
        <v>468</v>
      </c>
      <c r="AE8" t="s">
        <v>116</v>
      </c>
      <c r="AF8" t="s">
        <v>117</v>
      </c>
    </row>
    <row r="9" spans="1:32" x14ac:dyDescent="0.25">
      <c r="A9" t="s">
        <v>254</v>
      </c>
      <c r="B9" t="s">
        <v>469</v>
      </c>
      <c r="C9" t="s">
        <v>470</v>
      </c>
      <c r="D9" t="s">
        <v>471</v>
      </c>
      <c r="E9" t="s">
        <v>472</v>
      </c>
      <c r="F9" t="s">
        <v>473</v>
      </c>
      <c r="G9" t="s">
        <v>474</v>
      </c>
      <c r="H9" t="s">
        <v>475</v>
      </c>
      <c r="I9" t="s">
        <v>476</v>
      </c>
      <c r="J9" t="s">
        <v>477</v>
      </c>
      <c r="K9" t="s">
        <v>116</v>
      </c>
      <c r="L9" t="s">
        <v>478</v>
      </c>
      <c r="M9" t="s">
        <v>479</v>
      </c>
      <c r="N9" t="s">
        <v>480</v>
      </c>
      <c r="O9" t="s">
        <v>481</v>
      </c>
      <c r="P9" t="s">
        <v>482</v>
      </c>
      <c r="Q9" t="s">
        <v>483</v>
      </c>
      <c r="R9" t="s">
        <v>484</v>
      </c>
      <c r="S9" t="s">
        <v>485</v>
      </c>
      <c r="T9" t="s">
        <v>486</v>
      </c>
      <c r="U9" t="s">
        <v>116</v>
      </c>
      <c r="V9" t="s">
        <v>273</v>
      </c>
      <c r="W9" t="s">
        <v>487</v>
      </c>
      <c r="X9" t="s">
        <v>488</v>
      </c>
      <c r="Y9" t="s">
        <v>489</v>
      </c>
      <c r="Z9" t="s">
        <v>490</v>
      </c>
      <c r="AA9" t="s">
        <v>491</v>
      </c>
      <c r="AB9" t="s">
        <v>492</v>
      </c>
      <c r="AC9" t="s">
        <v>493</v>
      </c>
      <c r="AD9" t="s">
        <v>494</v>
      </c>
      <c r="AE9" t="s">
        <v>116</v>
      </c>
      <c r="AF9" t="s">
        <v>117</v>
      </c>
    </row>
    <row r="10" spans="1:32" x14ac:dyDescent="0.25">
      <c r="A10" t="s">
        <v>280</v>
      </c>
      <c r="B10" t="s">
        <v>495</v>
      </c>
      <c r="C10" t="s">
        <v>496</v>
      </c>
      <c r="D10" t="s">
        <v>497</v>
      </c>
      <c r="E10" t="s">
        <v>498</v>
      </c>
      <c r="F10" t="s">
        <v>499</v>
      </c>
      <c r="G10" t="s">
        <v>500</v>
      </c>
      <c r="H10" t="s">
        <v>501</v>
      </c>
      <c r="I10" t="s">
        <v>502</v>
      </c>
      <c r="J10" t="s">
        <v>503</v>
      </c>
      <c r="K10" t="s">
        <v>116</v>
      </c>
      <c r="L10" t="s">
        <v>504</v>
      </c>
      <c r="M10" t="s">
        <v>505</v>
      </c>
      <c r="N10" t="s">
        <v>506</v>
      </c>
      <c r="O10" t="s">
        <v>507</v>
      </c>
      <c r="P10" t="s">
        <v>508</v>
      </c>
      <c r="Q10" t="s">
        <v>509</v>
      </c>
      <c r="R10" t="s">
        <v>510</v>
      </c>
      <c r="S10" t="s">
        <v>511</v>
      </c>
      <c r="T10" t="s">
        <v>512</v>
      </c>
      <c r="U10" t="s">
        <v>116</v>
      </c>
      <c r="V10" t="s">
        <v>513</v>
      </c>
      <c r="W10" t="s">
        <v>514</v>
      </c>
      <c r="X10" t="s">
        <v>515</v>
      </c>
      <c r="Y10" t="s">
        <v>516</v>
      </c>
      <c r="Z10" t="s">
        <v>517</v>
      </c>
      <c r="AA10" t="s">
        <v>518</v>
      </c>
      <c r="AB10" t="s">
        <v>519</v>
      </c>
      <c r="AC10" t="s">
        <v>520</v>
      </c>
      <c r="AD10" t="s">
        <v>521</v>
      </c>
      <c r="AE10" t="s">
        <v>116</v>
      </c>
      <c r="AF10" t="s">
        <v>117</v>
      </c>
    </row>
    <row r="11" spans="1:32" x14ac:dyDescent="0.25">
      <c r="A11" t="s">
        <v>306</v>
      </c>
      <c r="B11" t="s">
        <v>522</v>
      </c>
      <c r="C11" t="s">
        <v>523</v>
      </c>
      <c r="D11" t="s">
        <v>524</v>
      </c>
      <c r="E11" t="s">
        <v>525</v>
      </c>
      <c r="F11" t="s">
        <v>526</v>
      </c>
      <c r="G11" t="s">
        <v>527</v>
      </c>
      <c r="H11" t="s">
        <v>528</v>
      </c>
      <c r="I11" t="s">
        <v>529</v>
      </c>
      <c r="J11" t="s">
        <v>530</v>
      </c>
      <c r="K11" t="s">
        <v>116</v>
      </c>
      <c r="L11" t="s">
        <v>531</v>
      </c>
      <c r="M11" t="s">
        <v>532</v>
      </c>
      <c r="N11" t="s">
        <v>533</v>
      </c>
      <c r="O11" t="s">
        <v>534</v>
      </c>
      <c r="P11" t="s">
        <v>535</v>
      </c>
      <c r="Q11" t="s">
        <v>536</v>
      </c>
      <c r="R11" t="s">
        <v>537</v>
      </c>
      <c r="S11" t="s">
        <v>538</v>
      </c>
      <c r="T11" t="s">
        <v>539</v>
      </c>
      <c r="U11" t="s">
        <v>116</v>
      </c>
      <c r="V11" t="s">
        <v>540</v>
      </c>
      <c r="W11" t="s">
        <v>541</v>
      </c>
      <c r="X11" t="s">
        <v>542</v>
      </c>
      <c r="Y11" t="s">
        <v>543</v>
      </c>
      <c r="Z11" t="s">
        <v>544</v>
      </c>
      <c r="AA11" t="s">
        <v>545</v>
      </c>
      <c r="AB11" t="s">
        <v>546</v>
      </c>
      <c r="AC11" t="s">
        <v>547</v>
      </c>
      <c r="AD11" t="s">
        <v>548</v>
      </c>
      <c r="AE11" t="s">
        <v>116</v>
      </c>
      <c r="AF11" t="s">
        <v>117</v>
      </c>
    </row>
    <row r="12" spans="1:32" x14ac:dyDescent="0.25">
      <c r="A12" t="s">
        <v>702</v>
      </c>
      <c r="B12" t="s">
        <v>755</v>
      </c>
      <c r="C12" t="s">
        <v>756</v>
      </c>
      <c r="D12" t="s">
        <v>757</v>
      </c>
      <c r="E12" t="s">
        <v>758</v>
      </c>
      <c r="F12" t="s">
        <v>759</v>
      </c>
      <c r="G12" t="s">
        <v>760</v>
      </c>
      <c r="H12" t="s">
        <v>761</v>
      </c>
      <c r="I12" t="s">
        <v>762</v>
      </c>
      <c r="J12" t="s">
        <v>763</v>
      </c>
      <c r="K12" t="s">
        <v>116</v>
      </c>
      <c r="L12" t="s">
        <v>764</v>
      </c>
      <c r="M12" t="s">
        <v>765</v>
      </c>
      <c r="N12" t="s">
        <v>766</v>
      </c>
      <c r="O12" t="s">
        <v>767</v>
      </c>
      <c r="P12" t="s">
        <v>768</v>
      </c>
      <c r="Q12" t="s">
        <v>769</v>
      </c>
      <c r="R12" t="s">
        <v>770</v>
      </c>
      <c r="S12" t="s">
        <v>771</v>
      </c>
      <c r="T12" t="s">
        <v>772</v>
      </c>
      <c r="U12" t="s">
        <v>116</v>
      </c>
      <c r="V12" t="s">
        <v>773</v>
      </c>
      <c r="W12" t="s">
        <v>774</v>
      </c>
      <c r="X12" t="s">
        <v>775</v>
      </c>
      <c r="Y12" t="s">
        <v>776</v>
      </c>
      <c r="Z12" t="s">
        <v>777</v>
      </c>
      <c r="AA12" t="s">
        <v>778</v>
      </c>
      <c r="AB12" t="s">
        <v>779</v>
      </c>
      <c r="AC12" t="s">
        <v>780</v>
      </c>
      <c r="AD12" t="s">
        <v>781</v>
      </c>
      <c r="AE12" t="s">
        <v>116</v>
      </c>
      <c r="AF12" t="s">
        <v>117</v>
      </c>
    </row>
    <row r="13" spans="1:32" x14ac:dyDescent="0.25">
      <c r="A13" t="s">
        <v>728</v>
      </c>
      <c r="B13" t="s">
        <v>782</v>
      </c>
      <c r="C13" t="s">
        <v>783</v>
      </c>
      <c r="D13" t="s">
        <v>784</v>
      </c>
      <c r="E13" t="s">
        <v>785</v>
      </c>
      <c r="F13" t="s">
        <v>786</v>
      </c>
      <c r="G13" t="s">
        <v>787</v>
      </c>
      <c r="H13" t="s">
        <v>788</v>
      </c>
      <c r="I13" t="s">
        <v>789</v>
      </c>
      <c r="J13" t="s">
        <v>790</v>
      </c>
      <c r="K13" t="s">
        <v>116</v>
      </c>
      <c r="L13" t="s">
        <v>791</v>
      </c>
      <c r="M13" t="s">
        <v>792</v>
      </c>
      <c r="N13" t="s">
        <v>793</v>
      </c>
      <c r="O13" t="s">
        <v>794</v>
      </c>
      <c r="P13" t="s">
        <v>795</v>
      </c>
      <c r="Q13" t="s">
        <v>796</v>
      </c>
      <c r="R13" t="s">
        <v>797</v>
      </c>
      <c r="S13" t="s">
        <v>798</v>
      </c>
      <c r="T13" t="s">
        <v>799</v>
      </c>
      <c r="U13" t="s">
        <v>116</v>
      </c>
      <c r="V13" t="s">
        <v>800</v>
      </c>
      <c r="W13" t="s">
        <v>801</v>
      </c>
      <c r="X13" t="s">
        <v>802</v>
      </c>
      <c r="Y13" t="s">
        <v>803</v>
      </c>
      <c r="Z13" t="s">
        <v>804</v>
      </c>
      <c r="AA13" t="s">
        <v>805</v>
      </c>
      <c r="AB13" t="s">
        <v>806</v>
      </c>
      <c r="AC13" t="s">
        <v>807</v>
      </c>
      <c r="AD13" t="s">
        <v>808</v>
      </c>
      <c r="AE13" t="s">
        <v>116</v>
      </c>
      <c r="AF13" t="s">
        <v>117</v>
      </c>
    </row>
    <row r="14" spans="1:32" x14ac:dyDescent="0.25">
      <c r="A14" t="s">
        <v>589</v>
      </c>
      <c r="B14" t="s">
        <v>663</v>
      </c>
      <c r="C14" t="s">
        <v>664</v>
      </c>
      <c r="D14" t="s">
        <v>665</v>
      </c>
      <c r="E14" t="s">
        <v>666</v>
      </c>
      <c r="F14" t="s">
        <v>667</v>
      </c>
      <c r="G14" t="s">
        <v>664</v>
      </c>
      <c r="H14" t="s">
        <v>668</v>
      </c>
      <c r="I14" t="s">
        <v>669</v>
      </c>
      <c r="J14" t="s">
        <v>670</v>
      </c>
      <c r="K14" t="s">
        <v>116</v>
      </c>
      <c r="L14" t="s">
        <v>671</v>
      </c>
      <c r="M14" t="s">
        <v>672</v>
      </c>
      <c r="N14" t="s">
        <v>671</v>
      </c>
      <c r="O14" t="s">
        <v>673</v>
      </c>
      <c r="P14" t="s">
        <v>674</v>
      </c>
      <c r="Q14" t="s">
        <v>675</v>
      </c>
      <c r="R14" t="s">
        <v>675</v>
      </c>
      <c r="S14" t="s">
        <v>671</v>
      </c>
      <c r="T14" t="s">
        <v>672</v>
      </c>
      <c r="U14" t="s">
        <v>116</v>
      </c>
      <c r="V14" t="s">
        <v>676</v>
      </c>
      <c r="W14" t="s">
        <v>677</v>
      </c>
      <c r="X14" t="s">
        <v>678</v>
      </c>
      <c r="Y14" t="s">
        <v>679</v>
      </c>
      <c r="Z14" t="s">
        <v>680</v>
      </c>
      <c r="AA14" t="s">
        <v>681</v>
      </c>
      <c r="AB14" t="s">
        <v>682</v>
      </c>
      <c r="AC14" t="s">
        <v>683</v>
      </c>
      <c r="AD14" t="s">
        <v>679</v>
      </c>
      <c r="AE14" t="s">
        <v>116</v>
      </c>
      <c r="AF14" t="s">
        <v>117</v>
      </c>
    </row>
    <row r="15" spans="1:32" x14ac:dyDescent="0.25">
      <c r="A15" t="s">
        <v>606</v>
      </c>
      <c r="B15" t="s">
        <v>684</v>
      </c>
      <c r="C15" t="s">
        <v>685</v>
      </c>
      <c r="D15" t="s">
        <v>686</v>
      </c>
      <c r="E15" t="s">
        <v>687</v>
      </c>
      <c r="F15" t="s">
        <v>688</v>
      </c>
      <c r="G15" t="s">
        <v>689</v>
      </c>
      <c r="H15" t="s">
        <v>689</v>
      </c>
      <c r="I15" t="s">
        <v>690</v>
      </c>
      <c r="J15" t="s">
        <v>691</v>
      </c>
      <c r="K15" t="s">
        <v>116</v>
      </c>
      <c r="L15" t="s">
        <v>692</v>
      </c>
      <c r="M15" t="s">
        <v>681</v>
      </c>
      <c r="N15" t="s">
        <v>693</v>
      </c>
      <c r="O15" t="s">
        <v>694</v>
      </c>
      <c r="P15" t="s">
        <v>695</v>
      </c>
      <c r="Q15" t="s">
        <v>692</v>
      </c>
      <c r="R15" t="s">
        <v>696</v>
      </c>
      <c r="S15" t="s">
        <v>671</v>
      </c>
      <c r="T15" t="s">
        <v>697</v>
      </c>
      <c r="U15" t="s">
        <v>116</v>
      </c>
      <c r="V15" t="s">
        <v>698</v>
      </c>
      <c r="W15" t="s">
        <v>699</v>
      </c>
      <c r="X15" t="s">
        <v>700</v>
      </c>
      <c r="Y15" t="s">
        <v>700</v>
      </c>
      <c r="Z15" t="s">
        <v>674</v>
      </c>
      <c r="AA15" t="s">
        <v>698</v>
      </c>
      <c r="AB15" t="s">
        <v>681</v>
      </c>
      <c r="AC15" t="s">
        <v>681</v>
      </c>
      <c r="AD15" t="s">
        <v>701</v>
      </c>
      <c r="AE15" t="s">
        <v>116</v>
      </c>
      <c r="AF15" t="s">
        <v>117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296D1-437E-422A-A33C-F4ADD5F70123}">
  <dimension ref="A1:AF15"/>
  <sheetViews>
    <sheetView topLeftCell="U1" workbookViewId="0">
      <selection activeCell="B2" sqref="B2:AD15"/>
    </sheetView>
  </sheetViews>
  <sheetFormatPr defaultRowHeight="15" x14ac:dyDescent="0.25"/>
  <cols>
    <col min="1" max="1" width="18.7109375" bestFit="1" customWidth="1"/>
    <col min="2" max="2" width="20.28515625" bestFit="1" customWidth="1"/>
    <col min="3" max="7" width="19.85546875" bestFit="1" customWidth="1"/>
    <col min="8" max="8" width="18.85546875" bestFit="1" customWidth="1"/>
    <col min="9" max="10" width="19.85546875" bestFit="1" customWidth="1"/>
    <col min="11" max="11" width="12.140625" bestFit="1" customWidth="1"/>
    <col min="12" max="20" width="19.85546875" bestFit="1" customWidth="1"/>
    <col min="21" max="21" width="12.140625" bestFit="1" customWidth="1"/>
    <col min="22" max="28" width="19.85546875" bestFit="1" customWidth="1"/>
    <col min="29" max="29" width="18.85546875" bestFit="1" customWidth="1"/>
    <col min="30" max="30" width="19.85546875" bestFit="1" customWidth="1"/>
    <col min="31" max="32" width="12.140625" bestFit="1" customWidth="1"/>
  </cols>
  <sheetData>
    <row r="1" spans="1:32" x14ac:dyDescent="0.25">
      <c r="A1" t="s">
        <v>85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  <c r="H1" t="s">
        <v>92</v>
      </c>
      <c r="I1" t="s">
        <v>93</v>
      </c>
      <c r="J1" t="s">
        <v>94</v>
      </c>
      <c r="K1" t="s">
        <v>95</v>
      </c>
      <c r="L1" t="s">
        <v>96</v>
      </c>
      <c r="M1" t="s">
        <v>97</v>
      </c>
      <c r="N1" t="s">
        <v>98</v>
      </c>
      <c r="O1" t="s">
        <v>99</v>
      </c>
      <c r="P1" t="s">
        <v>100</v>
      </c>
      <c r="Q1" t="s">
        <v>101</v>
      </c>
      <c r="R1" t="s">
        <v>102</v>
      </c>
      <c r="S1" t="s">
        <v>103</v>
      </c>
      <c r="T1" t="s">
        <v>104</v>
      </c>
      <c r="U1" t="s">
        <v>105</v>
      </c>
      <c r="V1" t="s">
        <v>106</v>
      </c>
      <c r="W1" t="s">
        <v>107</v>
      </c>
      <c r="X1" t="s">
        <v>108</v>
      </c>
      <c r="Y1" t="s">
        <v>109</v>
      </c>
      <c r="Z1" t="s">
        <v>110</v>
      </c>
      <c r="AA1" t="s">
        <v>111</v>
      </c>
      <c r="AB1" t="s">
        <v>112</v>
      </c>
      <c r="AC1" t="s">
        <v>113</v>
      </c>
      <c r="AD1" t="s">
        <v>114</v>
      </c>
      <c r="AE1" t="s">
        <v>118</v>
      </c>
      <c r="AF1" t="s">
        <v>119</v>
      </c>
    </row>
    <row r="2" spans="1:32" x14ac:dyDescent="0.25">
      <c r="A2" t="s">
        <v>549</v>
      </c>
      <c r="B2" t="s">
        <v>550</v>
      </c>
      <c r="C2" t="s">
        <v>551</v>
      </c>
      <c r="D2" t="s">
        <v>552</v>
      </c>
      <c r="E2" t="s">
        <v>553</v>
      </c>
      <c r="F2" t="s">
        <v>81</v>
      </c>
      <c r="G2" t="s">
        <v>62</v>
      </c>
      <c r="H2" t="s">
        <v>70</v>
      </c>
      <c r="I2" t="s">
        <v>74</v>
      </c>
      <c r="J2" t="s">
        <v>76</v>
      </c>
      <c r="K2" t="s">
        <v>116</v>
      </c>
      <c r="L2" t="s">
        <v>554</v>
      </c>
      <c r="M2" t="s">
        <v>555</v>
      </c>
      <c r="N2" t="s">
        <v>556</v>
      </c>
      <c r="O2" t="s">
        <v>557</v>
      </c>
      <c r="P2" t="s">
        <v>84</v>
      </c>
      <c r="Q2" t="s">
        <v>60</v>
      </c>
      <c r="R2" t="s">
        <v>66</v>
      </c>
      <c r="S2" t="s">
        <v>66</v>
      </c>
      <c r="T2" t="s">
        <v>79</v>
      </c>
      <c r="U2" t="s">
        <v>116</v>
      </c>
      <c r="V2" t="s">
        <v>558</v>
      </c>
      <c r="W2" t="s">
        <v>559</v>
      </c>
      <c r="X2" t="s">
        <v>560</v>
      </c>
      <c r="Y2" t="s">
        <v>561</v>
      </c>
      <c r="Z2" t="s">
        <v>83</v>
      </c>
      <c r="AA2" t="s">
        <v>64</v>
      </c>
      <c r="AB2" t="s">
        <v>68</v>
      </c>
      <c r="AC2" t="s">
        <v>72</v>
      </c>
      <c r="AD2" t="s">
        <v>78</v>
      </c>
      <c r="AE2" t="s">
        <v>116</v>
      </c>
      <c r="AF2" t="s">
        <v>117</v>
      </c>
    </row>
    <row r="3" spans="1:32" x14ac:dyDescent="0.25">
      <c r="A3" t="s">
        <v>562</v>
      </c>
      <c r="B3" t="s">
        <v>563</v>
      </c>
      <c r="C3" t="s">
        <v>564</v>
      </c>
      <c r="D3" t="s">
        <v>565</v>
      </c>
      <c r="E3" t="s">
        <v>566</v>
      </c>
      <c r="F3" t="s">
        <v>567</v>
      </c>
      <c r="G3" t="s">
        <v>568</v>
      </c>
      <c r="H3" t="s">
        <v>569</v>
      </c>
      <c r="I3" t="s">
        <v>570</v>
      </c>
      <c r="J3" t="s">
        <v>571</v>
      </c>
      <c r="K3" t="s">
        <v>116</v>
      </c>
      <c r="L3" t="s">
        <v>572</v>
      </c>
      <c r="M3" t="s">
        <v>573</v>
      </c>
      <c r="N3" t="s">
        <v>574</v>
      </c>
      <c r="O3" t="s">
        <v>575</v>
      </c>
      <c r="P3" t="s">
        <v>576</v>
      </c>
      <c r="Q3" t="s">
        <v>577</v>
      </c>
      <c r="R3" t="s">
        <v>578</v>
      </c>
      <c r="S3" t="s">
        <v>579</v>
      </c>
      <c r="T3" t="s">
        <v>580</v>
      </c>
      <c r="U3" t="s">
        <v>116</v>
      </c>
      <c r="V3" t="s">
        <v>581</v>
      </c>
      <c r="W3" t="s">
        <v>582</v>
      </c>
      <c r="X3" t="s">
        <v>581</v>
      </c>
      <c r="Y3" t="s">
        <v>583</v>
      </c>
      <c r="Z3" t="s">
        <v>584</v>
      </c>
      <c r="AA3" t="s">
        <v>585</v>
      </c>
      <c r="AB3" t="s">
        <v>586</v>
      </c>
      <c r="AC3" t="s">
        <v>587</v>
      </c>
      <c r="AD3" t="s">
        <v>588</v>
      </c>
      <c r="AE3" t="s">
        <v>116</v>
      </c>
      <c r="AF3" t="s">
        <v>117</v>
      </c>
    </row>
    <row r="4" spans="1:32" x14ac:dyDescent="0.25">
      <c r="A4" t="s">
        <v>120</v>
      </c>
      <c r="B4" t="s">
        <v>121</v>
      </c>
      <c r="C4" t="s">
        <v>122</v>
      </c>
      <c r="D4" t="s">
        <v>123</v>
      </c>
      <c r="E4" t="s">
        <v>124</v>
      </c>
      <c r="F4" t="s">
        <v>125</v>
      </c>
      <c r="G4" t="s">
        <v>126</v>
      </c>
      <c r="H4" t="s">
        <v>127</v>
      </c>
      <c r="I4" t="s">
        <v>128</v>
      </c>
      <c r="J4" t="s">
        <v>129</v>
      </c>
      <c r="K4" t="s">
        <v>116</v>
      </c>
      <c r="L4" t="s">
        <v>115</v>
      </c>
      <c r="M4" t="s">
        <v>130</v>
      </c>
      <c r="N4" t="s">
        <v>131</v>
      </c>
      <c r="O4" t="s">
        <v>132</v>
      </c>
      <c r="P4" t="s">
        <v>133</v>
      </c>
      <c r="Q4" t="s">
        <v>134</v>
      </c>
      <c r="R4" t="s">
        <v>135</v>
      </c>
      <c r="S4" t="s">
        <v>136</v>
      </c>
      <c r="T4" t="s">
        <v>137</v>
      </c>
      <c r="U4" t="s">
        <v>116</v>
      </c>
      <c r="V4" t="s">
        <v>138</v>
      </c>
      <c r="W4" t="s">
        <v>139</v>
      </c>
      <c r="X4" t="s">
        <v>138</v>
      </c>
      <c r="Y4" t="s">
        <v>140</v>
      </c>
      <c r="Z4" t="s">
        <v>141</v>
      </c>
      <c r="AA4" t="s">
        <v>142</v>
      </c>
      <c r="AB4" t="s">
        <v>143</v>
      </c>
      <c r="AC4" t="s">
        <v>144</v>
      </c>
      <c r="AD4" t="s">
        <v>145</v>
      </c>
      <c r="AE4" t="s">
        <v>116</v>
      </c>
      <c r="AF4" t="s">
        <v>117</v>
      </c>
    </row>
    <row r="5" spans="1:32" x14ac:dyDescent="0.25">
      <c r="A5" t="s">
        <v>146</v>
      </c>
      <c r="B5" t="s">
        <v>147</v>
      </c>
      <c r="C5" t="s">
        <v>148</v>
      </c>
      <c r="D5" t="s">
        <v>149</v>
      </c>
      <c r="E5" t="s">
        <v>150</v>
      </c>
      <c r="F5" t="s">
        <v>151</v>
      </c>
      <c r="G5" t="s">
        <v>152</v>
      </c>
      <c r="H5" t="s">
        <v>153</v>
      </c>
      <c r="I5" t="s">
        <v>154</v>
      </c>
      <c r="J5" t="s">
        <v>155</v>
      </c>
      <c r="K5" t="s">
        <v>116</v>
      </c>
      <c r="L5" t="s">
        <v>156</v>
      </c>
      <c r="M5" t="s">
        <v>156</v>
      </c>
      <c r="N5" t="s">
        <v>157</v>
      </c>
      <c r="O5" t="s">
        <v>158</v>
      </c>
      <c r="P5" t="s">
        <v>159</v>
      </c>
      <c r="Q5" t="s">
        <v>160</v>
      </c>
      <c r="R5" t="s">
        <v>161</v>
      </c>
      <c r="S5" t="s">
        <v>162</v>
      </c>
      <c r="T5" t="s">
        <v>163</v>
      </c>
      <c r="U5" t="s">
        <v>116</v>
      </c>
      <c r="V5" t="s">
        <v>164</v>
      </c>
      <c r="W5" t="s">
        <v>165</v>
      </c>
      <c r="X5" t="s">
        <v>166</v>
      </c>
      <c r="Y5" t="s">
        <v>167</v>
      </c>
      <c r="Z5" t="s">
        <v>168</v>
      </c>
      <c r="AA5" t="s">
        <v>150</v>
      </c>
      <c r="AB5" t="s">
        <v>169</v>
      </c>
      <c r="AC5" t="s">
        <v>170</v>
      </c>
      <c r="AD5" t="s">
        <v>171</v>
      </c>
      <c r="AE5" t="s">
        <v>116</v>
      </c>
      <c r="AF5" t="s">
        <v>117</v>
      </c>
    </row>
    <row r="6" spans="1:32" x14ac:dyDescent="0.25">
      <c r="A6" t="s">
        <v>172</v>
      </c>
      <c r="B6" t="s">
        <v>173</v>
      </c>
      <c r="C6" t="s">
        <v>174</v>
      </c>
      <c r="D6" t="s">
        <v>174</v>
      </c>
      <c r="E6" t="s">
        <v>175</v>
      </c>
      <c r="F6" t="s">
        <v>176</v>
      </c>
      <c r="G6" t="s">
        <v>174</v>
      </c>
      <c r="H6" t="s">
        <v>177</v>
      </c>
      <c r="I6" t="s">
        <v>178</v>
      </c>
      <c r="J6" t="s">
        <v>179</v>
      </c>
      <c r="K6" t="s">
        <v>116</v>
      </c>
      <c r="L6" t="s">
        <v>180</v>
      </c>
      <c r="M6" t="s">
        <v>181</v>
      </c>
      <c r="N6" t="s">
        <v>182</v>
      </c>
      <c r="O6" t="s">
        <v>183</v>
      </c>
      <c r="P6" t="s">
        <v>184</v>
      </c>
      <c r="Q6" t="s">
        <v>185</v>
      </c>
      <c r="R6" t="s">
        <v>186</v>
      </c>
      <c r="S6" t="s">
        <v>187</v>
      </c>
      <c r="T6" t="s">
        <v>188</v>
      </c>
      <c r="U6" t="s">
        <v>116</v>
      </c>
      <c r="V6" t="s">
        <v>189</v>
      </c>
      <c r="W6" t="s">
        <v>190</v>
      </c>
      <c r="X6" t="s">
        <v>191</v>
      </c>
      <c r="Y6" t="s">
        <v>192</v>
      </c>
      <c r="Z6" t="s">
        <v>193</v>
      </c>
      <c r="AA6" t="s">
        <v>194</v>
      </c>
      <c r="AB6" t="s">
        <v>195</v>
      </c>
      <c r="AC6" t="s">
        <v>196</v>
      </c>
      <c r="AD6" t="s">
        <v>197</v>
      </c>
      <c r="AE6" t="s">
        <v>116</v>
      </c>
      <c r="AF6" t="s">
        <v>117</v>
      </c>
    </row>
    <row r="7" spans="1:32" x14ac:dyDescent="0.25">
      <c r="A7" t="s">
        <v>198</v>
      </c>
      <c r="B7" t="s">
        <v>199</v>
      </c>
      <c r="C7" t="s">
        <v>200</v>
      </c>
      <c r="D7" t="s">
        <v>201</v>
      </c>
      <c r="E7" t="s">
        <v>202</v>
      </c>
      <c r="F7" t="s">
        <v>203</v>
      </c>
      <c r="G7" t="s">
        <v>204</v>
      </c>
      <c r="H7" t="s">
        <v>205</v>
      </c>
      <c r="I7" t="s">
        <v>206</v>
      </c>
      <c r="J7" t="s">
        <v>207</v>
      </c>
      <c r="K7" t="s">
        <v>116</v>
      </c>
      <c r="L7" t="s">
        <v>208</v>
      </c>
      <c r="M7" t="s">
        <v>209</v>
      </c>
      <c r="N7" t="s">
        <v>210</v>
      </c>
      <c r="O7" t="s">
        <v>211</v>
      </c>
      <c r="P7" t="s">
        <v>212</v>
      </c>
      <c r="Q7" t="s">
        <v>213</v>
      </c>
      <c r="R7" t="s">
        <v>214</v>
      </c>
      <c r="S7" t="s">
        <v>215</v>
      </c>
      <c r="T7" t="s">
        <v>216</v>
      </c>
      <c r="U7" t="s">
        <v>116</v>
      </c>
      <c r="V7" t="s">
        <v>217</v>
      </c>
      <c r="W7" t="s">
        <v>218</v>
      </c>
      <c r="X7" t="s">
        <v>219</v>
      </c>
      <c r="Y7" t="s">
        <v>220</v>
      </c>
      <c r="Z7" t="s">
        <v>221</v>
      </c>
      <c r="AA7" t="s">
        <v>222</v>
      </c>
      <c r="AB7" t="s">
        <v>223</v>
      </c>
      <c r="AC7" t="s">
        <v>224</v>
      </c>
      <c r="AD7" t="s">
        <v>225</v>
      </c>
      <c r="AE7" t="s">
        <v>116</v>
      </c>
      <c r="AF7" t="s">
        <v>117</v>
      </c>
    </row>
    <row r="8" spans="1:32" x14ac:dyDescent="0.25">
      <c r="A8" t="s">
        <v>226</v>
      </c>
      <c r="B8" t="s">
        <v>227</v>
      </c>
      <c r="C8" t="s">
        <v>228</v>
      </c>
      <c r="D8" t="s">
        <v>229</v>
      </c>
      <c r="E8" t="s">
        <v>230</v>
      </c>
      <c r="F8" t="s">
        <v>231</v>
      </c>
      <c r="G8" t="s">
        <v>232</v>
      </c>
      <c r="H8" t="s">
        <v>233</v>
      </c>
      <c r="I8" t="s">
        <v>234</v>
      </c>
      <c r="J8" t="s">
        <v>235</v>
      </c>
      <c r="K8" t="s">
        <v>116</v>
      </c>
      <c r="L8" t="s">
        <v>236</v>
      </c>
      <c r="M8" t="s">
        <v>237</v>
      </c>
      <c r="N8" t="s">
        <v>238</v>
      </c>
      <c r="O8" t="s">
        <v>239</v>
      </c>
      <c r="P8" t="s">
        <v>240</v>
      </c>
      <c r="Q8" t="s">
        <v>241</v>
      </c>
      <c r="R8" t="s">
        <v>242</v>
      </c>
      <c r="S8" t="s">
        <v>243</v>
      </c>
      <c r="T8" t="s">
        <v>244</v>
      </c>
      <c r="U8" t="s">
        <v>116</v>
      </c>
      <c r="V8" t="s">
        <v>245</v>
      </c>
      <c r="W8" t="s">
        <v>246</v>
      </c>
      <c r="X8" t="s">
        <v>247</v>
      </c>
      <c r="Y8" t="s">
        <v>248</v>
      </c>
      <c r="Z8" t="s">
        <v>249</v>
      </c>
      <c r="AA8" t="s">
        <v>250</v>
      </c>
      <c r="AB8" t="s">
        <v>251</v>
      </c>
      <c r="AC8" t="s">
        <v>252</v>
      </c>
      <c r="AD8" t="s">
        <v>253</v>
      </c>
      <c r="AE8" t="s">
        <v>116</v>
      </c>
      <c r="AF8" t="s">
        <v>117</v>
      </c>
    </row>
    <row r="9" spans="1:32" x14ac:dyDescent="0.25">
      <c r="A9" t="s">
        <v>254</v>
      </c>
      <c r="B9" t="s">
        <v>255</v>
      </c>
      <c r="C9" t="s">
        <v>256</v>
      </c>
      <c r="D9" t="s">
        <v>257</v>
      </c>
      <c r="E9" t="s">
        <v>258</v>
      </c>
      <c r="F9" t="s">
        <v>259</v>
      </c>
      <c r="G9" t="s">
        <v>260</v>
      </c>
      <c r="H9" t="s">
        <v>261</v>
      </c>
      <c r="I9" t="s">
        <v>262</v>
      </c>
      <c r="J9" t="s">
        <v>263</v>
      </c>
      <c r="K9" t="s">
        <v>116</v>
      </c>
      <c r="L9" t="s">
        <v>264</v>
      </c>
      <c r="M9" t="s">
        <v>265</v>
      </c>
      <c r="N9" t="s">
        <v>266</v>
      </c>
      <c r="O9" t="s">
        <v>267</v>
      </c>
      <c r="P9" t="s">
        <v>268</v>
      </c>
      <c r="Q9" t="s">
        <v>269</v>
      </c>
      <c r="R9" t="s">
        <v>270</v>
      </c>
      <c r="S9" t="s">
        <v>271</v>
      </c>
      <c r="T9" t="s">
        <v>272</v>
      </c>
      <c r="U9" t="s">
        <v>116</v>
      </c>
      <c r="V9" t="s">
        <v>273</v>
      </c>
      <c r="W9" t="s">
        <v>273</v>
      </c>
      <c r="X9" t="s">
        <v>274</v>
      </c>
      <c r="Y9" t="s">
        <v>275</v>
      </c>
      <c r="Z9" t="s">
        <v>276</v>
      </c>
      <c r="AA9" t="s">
        <v>273</v>
      </c>
      <c r="AB9" t="s">
        <v>277</v>
      </c>
      <c r="AC9" t="s">
        <v>278</v>
      </c>
      <c r="AD9" t="s">
        <v>279</v>
      </c>
      <c r="AE9" t="s">
        <v>116</v>
      </c>
      <c r="AF9" t="s">
        <v>117</v>
      </c>
    </row>
    <row r="10" spans="1:32" x14ac:dyDescent="0.25">
      <c r="A10" t="s">
        <v>280</v>
      </c>
      <c r="B10" t="s">
        <v>281</v>
      </c>
      <c r="C10" t="s">
        <v>282</v>
      </c>
      <c r="D10" t="s">
        <v>283</v>
      </c>
      <c r="E10" t="s">
        <v>284</v>
      </c>
      <c r="F10" t="s">
        <v>285</v>
      </c>
      <c r="G10" t="s">
        <v>286</v>
      </c>
      <c r="H10" t="s">
        <v>287</v>
      </c>
      <c r="I10" t="s">
        <v>283</v>
      </c>
      <c r="J10" t="s">
        <v>288</v>
      </c>
      <c r="K10" t="s">
        <v>116</v>
      </c>
      <c r="L10" t="s">
        <v>289</v>
      </c>
      <c r="M10" t="s">
        <v>290</v>
      </c>
      <c r="N10" t="s">
        <v>291</v>
      </c>
      <c r="O10" t="s">
        <v>292</v>
      </c>
      <c r="P10" t="s">
        <v>293</v>
      </c>
      <c r="Q10" t="s">
        <v>294</v>
      </c>
      <c r="R10" t="s">
        <v>295</v>
      </c>
      <c r="S10" t="s">
        <v>296</v>
      </c>
      <c r="T10" t="s">
        <v>297</v>
      </c>
      <c r="U10" t="s">
        <v>116</v>
      </c>
      <c r="V10" t="s">
        <v>298</v>
      </c>
      <c r="W10" t="s">
        <v>299</v>
      </c>
      <c r="X10" t="s">
        <v>300</v>
      </c>
      <c r="Y10" t="s">
        <v>301</v>
      </c>
      <c r="Z10" t="s">
        <v>302</v>
      </c>
      <c r="AA10" t="s">
        <v>303</v>
      </c>
      <c r="AB10" t="s">
        <v>302</v>
      </c>
      <c r="AC10" t="s">
        <v>304</v>
      </c>
      <c r="AD10" t="s">
        <v>305</v>
      </c>
      <c r="AE10" t="s">
        <v>116</v>
      </c>
      <c r="AF10" t="s">
        <v>117</v>
      </c>
    </row>
    <row r="11" spans="1:32" x14ac:dyDescent="0.25">
      <c r="A11" t="s">
        <v>306</v>
      </c>
      <c r="B11" t="s">
        <v>307</v>
      </c>
      <c r="C11" t="s">
        <v>308</v>
      </c>
      <c r="D11" t="s">
        <v>309</v>
      </c>
      <c r="E11" t="s">
        <v>310</v>
      </c>
      <c r="F11" t="s">
        <v>311</v>
      </c>
      <c r="G11" t="s">
        <v>312</v>
      </c>
      <c r="H11" t="s">
        <v>313</v>
      </c>
      <c r="I11" t="s">
        <v>314</v>
      </c>
      <c r="J11" t="s">
        <v>315</v>
      </c>
      <c r="K11" t="s">
        <v>116</v>
      </c>
      <c r="L11" t="s">
        <v>316</v>
      </c>
      <c r="M11" t="s">
        <v>317</v>
      </c>
      <c r="N11" t="s">
        <v>318</v>
      </c>
      <c r="O11" t="s">
        <v>319</v>
      </c>
      <c r="P11" t="s">
        <v>320</v>
      </c>
      <c r="Q11" t="s">
        <v>321</v>
      </c>
      <c r="R11" t="s">
        <v>322</v>
      </c>
      <c r="S11" t="s">
        <v>323</v>
      </c>
      <c r="T11" t="s">
        <v>324</v>
      </c>
      <c r="U11" t="s">
        <v>116</v>
      </c>
      <c r="V11" t="s">
        <v>325</v>
      </c>
      <c r="W11" t="s">
        <v>326</v>
      </c>
      <c r="X11" t="s">
        <v>327</v>
      </c>
      <c r="Y11" t="s">
        <v>328</v>
      </c>
      <c r="Z11" t="s">
        <v>329</v>
      </c>
      <c r="AA11" t="s">
        <v>330</v>
      </c>
      <c r="AB11" t="s">
        <v>331</v>
      </c>
      <c r="AC11" t="s">
        <v>332</v>
      </c>
      <c r="AD11" t="s">
        <v>333</v>
      </c>
      <c r="AE11" t="s">
        <v>116</v>
      </c>
      <c r="AF11" t="s">
        <v>117</v>
      </c>
    </row>
    <row r="12" spans="1:32" x14ac:dyDescent="0.25">
      <c r="A12" t="s">
        <v>702</v>
      </c>
      <c r="B12" t="s">
        <v>703</v>
      </c>
      <c r="C12" t="s">
        <v>704</v>
      </c>
      <c r="D12" t="s">
        <v>705</v>
      </c>
      <c r="E12" t="s">
        <v>706</v>
      </c>
      <c r="F12" t="s">
        <v>707</v>
      </c>
      <c r="G12" t="s">
        <v>708</v>
      </c>
      <c r="H12" t="s">
        <v>709</v>
      </c>
      <c r="I12" t="s">
        <v>710</v>
      </c>
      <c r="J12" t="s">
        <v>711</v>
      </c>
      <c r="K12" t="s">
        <v>116</v>
      </c>
      <c r="L12" t="s">
        <v>712</v>
      </c>
      <c r="M12" t="s">
        <v>713</v>
      </c>
      <c r="N12" t="s">
        <v>714</v>
      </c>
      <c r="O12" t="s">
        <v>715</v>
      </c>
      <c r="P12" t="s">
        <v>716</v>
      </c>
      <c r="Q12" t="s">
        <v>717</v>
      </c>
      <c r="R12" t="s">
        <v>718</v>
      </c>
      <c r="S12" t="s">
        <v>719</v>
      </c>
      <c r="T12" t="s">
        <v>720</v>
      </c>
      <c r="U12" t="s">
        <v>116</v>
      </c>
      <c r="V12" t="s">
        <v>721</v>
      </c>
      <c r="W12" t="s">
        <v>722</v>
      </c>
      <c r="X12" t="s">
        <v>273</v>
      </c>
      <c r="Y12" t="s">
        <v>273</v>
      </c>
      <c r="Z12" t="s">
        <v>723</v>
      </c>
      <c r="AA12" t="s">
        <v>724</v>
      </c>
      <c r="AB12" t="s">
        <v>725</v>
      </c>
      <c r="AC12" t="s">
        <v>726</v>
      </c>
      <c r="AD12" t="s">
        <v>727</v>
      </c>
      <c r="AE12" t="s">
        <v>116</v>
      </c>
      <c r="AF12" t="s">
        <v>117</v>
      </c>
    </row>
    <row r="13" spans="1:32" x14ac:dyDescent="0.25">
      <c r="A13" t="s">
        <v>728</v>
      </c>
      <c r="B13" t="s">
        <v>729</v>
      </c>
      <c r="C13" t="s">
        <v>730</v>
      </c>
      <c r="D13" t="s">
        <v>731</v>
      </c>
      <c r="E13" t="s">
        <v>732</v>
      </c>
      <c r="F13" t="s">
        <v>733</v>
      </c>
      <c r="G13" t="s">
        <v>734</v>
      </c>
      <c r="H13" t="s">
        <v>735</v>
      </c>
      <c r="I13" t="s">
        <v>736</v>
      </c>
      <c r="J13" t="s">
        <v>737</v>
      </c>
      <c r="K13" t="s">
        <v>116</v>
      </c>
      <c r="L13" t="s">
        <v>738</v>
      </c>
      <c r="M13" t="s">
        <v>739</v>
      </c>
      <c r="N13" t="s">
        <v>740</v>
      </c>
      <c r="O13" t="s">
        <v>741</v>
      </c>
      <c r="P13" t="s">
        <v>742</v>
      </c>
      <c r="Q13" t="s">
        <v>743</v>
      </c>
      <c r="R13" t="s">
        <v>744</v>
      </c>
      <c r="S13" t="s">
        <v>743</v>
      </c>
      <c r="T13" t="s">
        <v>745</v>
      </c>
      <c r="U13" t="s">
        <v>116</v>
      </c>
      <c r="V13" t="s">
        <v>746</v>
      </c>
      <c r="W13" t="s">
        <v>747</v>
      </c>
      <c r="X13" t="s">
        <v>748</v>
      </c>
      <c r="Y13" t="s">
        <v>749</v>
      </c>
      <c r="Z13" t="s">
        <v>750</v>
      </c>
      <c r="AA13" t="s">
        <v>751</v>
      </c>
      <c r="AB13" t="s">
        <v>752</v>
      </c>
      <c r="AC13" t="s">
        <v>753</v>
      </c>
      <c r="AD13" t="s">
        <v>754</v>
      </c>
      <c r="AE13" t="s">
        <v>116</v>
      </c>
      <c r="AF13" t="s">
        <v>117</v>
      </c>
    </row>
    <row r="14" spans="1:32" x14ac:dyDescent="0.25">
      <c r="A14" t="s">
        <v>589</v>
      </c>
      <c r="B14" t="s">
        <v>590</v>
      </c>
      <c r="C14" t="s">
        <v>591</v>
      </c>
      <c r="D14" t="s">
        <v>592</v>
      </c>
      <c r="E14" t="s">
        <v>593</v>
      </c>
      <c r="F14" t="s">
        <v>594</v>
      </c>
      <c r="G14" t="s">
        <v>591</v>
      </c>
      <c r="H14" t="s">
        <v>595</v>
      </c>
      <c r="I14" t="s">
        <v>596</v>
      </c>
      <c r="J14" t="s">
        <v>596</v>
      </c>
      <c r="K14" t="s">
        <v>116</v>
      </c>
      <c r="L14" t="s">
        <v>597</v>
      </c>
      <c r="M14" t="s">
        <v>598</v>
      </c>
      <c r="N14" t="s">
        <v>599</v>
      </c>
      <c r="O14" t="s">
        <v>599</v>
      </c>
      <c r="P14" t="s">
        <v>600</v>
      </c>
      <c r="Q14" t="s">
        <v>601</v>
      </c>
      <c r="R14" t="s">
        <v>602</v>
      </c>
      <c r="S14" t="s">
        <v>603</v>
      </c>
      <c r="T14" t="s">
        <v>602</v>
      </c>
      <c r="U14" t="s">
        <v>116</v>
      </c>
      <c r="V14" t="s">
        <v>593</v>
      </c>
      <c r="W14" t="s">
        <v>604</v>
      </c>
      <c r="X14" t="s">
        <v>596</v>
      </c>
      <c r="Y14" t="s">
        <v>604</v>
      </c>
      <c r="Z14" t="s">
        <v>592</v>
      </c>
      <c r="AA14" t="s">
        <v>605</v>
      </c>
      <c r="AB14" t="s">
        <v>596</v>
      </c>
      <c r="AC14" t="s">
        <v>592</v>
      </c>
      <c r="AD14" t="s">
        <v>596</v>
      </c>
      <c r="AE14" t="s">
        <v>116</v>
      </c>
      <c r="AF14" t="s">
        <v>117</v>
      </c>
    </row>
    <row r="15" spans="1:32" x14ac:dyDescent="0.25">
      <c r="A15" t="s">
        <v>606</v>
      </c>
      <c r="B15" t="s">
        <v>607</v>
      </c>
      <c r="C15" t="s">
        <v>608</v>
      </c>
      <c r="D15" t="s">
        <v>609</v>
      </c>
      <c r="E15" t="s">
        <v>609</v>
      </c>
      <c r="F15" t="s">
        <v>610</v>
      </c>
      <c r="G15" t="s">
        <v>611</v>
      </c>
      <c r="H15" t="s">
        <v>612</v>
      </c>
      <c r="I15" t="s">
        <v>613</v>
      </c>
      <c r="J15" t="s">
        <v>614</v>
      </c>
      <c r="K15" t="s">
        <v>116</v>
      </c>
      <c r="L15" t="s">
        <v>599</v>
      </c>
      <c r="M15" t="s">
        <v>615</v>
      </c>
      <c r="N15" t="s">
        <v>603</v>
      </c>
      <c r="O15" t="s">
        <v>616</v>
      </c>
      <c r="P15" t="s">
        <v>603</v>
      </c>
      <c r="Q15" t="s">
        <v>617</v>
      </c>
      <c r="R15" t="s">
        <v>615</v>
      </c>
      <c r="S15" t="s">
        <v>617</v>
      </c>
      <c r="T15" t="s">
        <v>617</v>
      </c>
      <c r="U15" t="s">
        <v>116</v>
      </c>
      <c r="V15" t="s">
        <v>600</v>
      </c>
      <c r="W15" t="s">
        <v>618</v>
      </c>
      <c r="X15" t="s">
        <v>605</v>
      </c>
      <c r="Y15" t="s">
        <v>600</v>
      </c>
      <c r="Z15" t="s">
        <v>615</v>
      </c>
      <c r="AA15" t="s">
        <v>619</v>
      </c>
      <c r="AB15" t="s">
        <v>596</v>
      </c>
      <c r="AC15" t="s">
        <v>592</v>
      </c>
      <c r="AD15" t="s">
        <v>618</v>
      </c>
      <c r="AE15" t="s">
        <v>116</v>
      </c>
      <c r="AF15" t="s">
        <v>117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18"/>
  <sheetViews>
    <sheetView topLeftCell="X1" zoomScale="80" zoomScaleNormal="80" workbookViewId="0">
      <selection activeCell="AD3" sqref="AD3:AL3"/>
    </sheetView>
  </sheetViews>
  <sheetFormatPr defaultRowHeight="15" x14ac:dyDescent="0.25"/>
  <cols>
    <col min="2" max="2" width="19" customWidth="1"/>
    <col min="7" max="7" width="14.28515625" customWidth="1"/>
    <col min="10" max="14" width="20.42578125" bestFit="1" customWidth="1"/>
    <col min="15" max="15" width="29.42578125" customWidth="1"/>
    <col min="16" max="16" width="28.7109375" customWidth="1"/>
    <col min="17" max="17" width="26.7109375" customWidth="1"/>
    <col min="18" max="18" width="23.140625" customWidth="1"/>
    <col min="20" max="24" width="20.28515625" bestFit="1" customWidth="1"/>
    <col min="25" max="25" width="20" customWidth="1"/>
    <col min="26" max="26" width="23.140625" bestFit="1" customWidth="1"/>
    <col min="27" max="27" width="22.85546875" bestFit="1" customWidth="1"/>
    <col min="28" max="28" width="21" bestFit="1" customWidth="1"/>
    <col min="30" max="34" width="20.28515625" bestFit="1" customWidth="1"/>
    <col min="35" max="35" width="25" bestFit="1" customWidth="1"/>
    <col min="36" max="36" width="23.140625" bestFit="1" customWidth="1"/>
    <col min="37" max="37" width="22.85546875" bestFit="1" customWidth="1"/>
    <col min="38" max="38" width="21" bestFit="1" customWidth="1"/>
    <col min="41" max="44" width="19.28515625" bestFit="1" customWidth="1"/>
    <col min="45" max="45" width="20.28515625" bestFit="1" customWidth="1"/>
    <col min="46" max="46" width="25" bestFit="1" customWidth="1"/>
    <col min="47" max="47" width="23.140625" bestFit="1" customWidth="1"/>
    <col min="48" max="48" width="22.85546875" bestFit="1" customWidth="1"/>
    <col min="49" max="49" width="21" bestFit="1" customWidth="1"/>
    <col min="51" max="52" width="20.28515625" bestFit="1" customWidth="1"/>
    <col min="54" max="55" width="20.28515625" bestFit="1" customWidth="1"/>
    <col min="56" max="56" width="25" bestFit="1" customWidth="1"/>
    <col min="57" max="57" width="23.140625" bestFit="1" customWidth="1"/>
    <col min="58" max="58" width="22.85546875" bestFit="1" customWidth="1"/>
    <col min="59" max="59" width="21" bestFit="1" customWidth="1"/>
    <col min="61" max="65" width="20.28515625" bestFit="1" customWidth="1"/>
    <col min="66" max="66" width="25" bestFit="1" customWidth="1"/>
    <col min="67" max="67" width="23.140625" bestFit="1" customWidth="1"/>
    <col min="68" max="68" width="22.85546875" bestFit="1" customWidth="1"/>
    <col min="69" max="69" width="21" bestFit="1" customWidth="1"/>
  </cols>
  <sheetData>
    <row r="1" spans="1:69" ht="28.5" customHeight="1" thickBo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I1" s="8" t="s">
        <v>45</v>
      </c>
      <c r="J1" s="23" t="s">
        <v>46</v>
      </c>
      <c r="K1" s="24"/>
      <c r="L1" s="24"/>
      <c r="M1" s="24"/>
      <c r="N1" s="24"/>
      <c r="O1" s="24"/>
      <c r="P1" s="24"/>
      <c r="Q1" s="24"/>
      <c r="R1" s="25"/>
      <c r="T1" s="23" t="s">
        <v>57</v>
      </c>
      <c r="U1" s="24"/>
      <c r="V1" s="24"/>
      <c r="W1" s="24"/>
      <c r="X1" s="24"/>
      <c r="Y1" s="24"/>
      <c r="Z1" s="24"/>
      <c r="AA1" s="24"/>
      <c r="AB1" s="25"/>
      <c r="AD1" s="23" t="s">
        <v>58</v>
      </c>
      <c r="AE1" s="24"/>
      <c r="AF1" s="24"/>
      <c r="AG1" s="24"/>
      <c r="AH1" s="24"/>
      <c r="AI1" s="24"/>
      <c r="AJ1" s="24"/>
      <c r="AK1" s="24"/>
      <c r="AL1" s="25"/>
      <c r="AN1" s="8" t="s">
        <v>59</v>
      </c>
      <c r="AO1" s="23" t="s">
        <v>46</v>
      </c>
      <c r="AP1" s="24"/>
      <c r="AQ1" s="24"/>
      <c r="AR1" s="24"/>
      <c r="AS1" s="24"/>
      <c r="AT1" s="24"/>
      <c r="AU1" s="24"/>
      <c r="AV1" s="24"/>
      <c r="AW1" s="25"/>
      <c r="AY1" s="23" t="s">
        <v>57</v>
      </c>
      <c r="AZ1" s="24"/>
      <c r="BA1" s="24"/>
      <c r="BB1" s="24"/>
      <c r="BC1" s="24"/>
      <c r="BD1" s="24"/>
      <c r="BE1" s="24"/>
      <c r="BF1" s="24"/>
      <c r="BG1" s="25"/>
      <c r="BI1" s="23" t="s">
        <v>58</v>
      </c>
      <c r="BJ1" s="24"/>
      <c r="BK1" s="24"/>
      <c r="BL1" s="24"/>
      <c r="BM1" s="24"/>
      <c r="BN1" s="24"/>
      <c r="BO1" s="24"/>
      <c r="BP1" s="24"/>
      <c r="BQ1" s="25"/>
    </row>
    <row r="2" spans="1:69" ht="29.25" customHeight="1" thickBot="1" x14ac:dyDescent="0.3">
      <c r="A2" s="6"/>
      <c r="B2" s="6"/>
      <c r="C2" s="6"/>
      <c r="D2" s="6"/>
      <c r="E2" s="6"/>
      <c r="F2" s="6"/>
      <c r="G2" s="6"/>
      <c r="I2" s="6"/>
      <c r="J2" s="23" t="s">
        <v>47</v>
      </c>
      <c r="K2" s="24"/>
      <c r="L2" s="24"/>
      <c r="M2" s="24"/>
      <c r="N2" s="24"/>
      <c r="O2" s="24"/>
      <c r="P2" s="24"/>
      <c r="Q2" s="24"/>
      <c r="R2" s="25"/>
      <c r="T2" s="23" t="s">
        <v>47</v>
      </c>
      <c r="U2" s="24"/>
      <c r="V2" s="24"/>
      <c r="W2" s="24"/>
      <c r="X2" s="24"/>
      <c r="Y2" s="24"/>
      <c r="Z2" s="24"/>
      <c r="AA2" s="24"/>
      <c r="AB2" s="25"/>
      <c r="AD2" s="23" t="s">
        <v>47</v>
      </c>
      <c r="AE2" s="24"/>
      <c r="AF2" s="24"/>
      <c r="AG2" s="24"/>
      <c r="AH2" s="24"/>
      <c r="AI2" s="24"/>
      <c r="AJ2" s="24"/>
      <c r="AK2" s="24"/>
      <c r="AL2" s="25"/>
      <c r="AN2" s="6"/>
      <c r="AO2" s="23" t="s">
        <v>47</v>
      </c>
      <c r="AP2" s="24"/>
      <c r="AQ2" s="24"/>
      <c r="AR2" s="24"/>
      <c r="AS2" s="24"/>
      <c r="AT2" s="24"/>
      <c r="AU2" s="24"/>
      <c r="AV2" s="24"/>
      <c r="AW2" s="25"/>
      <c r="AY2" s="23" t="s">
        <v>47</v>
      </c>
      <c r="AZ2" s="24"/>
      <c r="BA2" s="24"/>
      <c r="BB2" s="24"/>
      <c r="BC2" s="24"/>
      <c r="BD2" s="24"/>
      <c r="BE2" s="24"/>
      <c r="BF2" s="24"/>
      <c r="BG2" s="25"/>
      <c r="BI2" s="23" t="s">
        <v>47</v>
      </c>
      <c r="BJ2" s="24"/>
      <c r="BK2" s="24"/>
      <c r="BL2" s="24"/>
      <c r="BM2" s="24"/>
      <c r="BN2" s="24"/>
      <c r="BO2" s="24"/>
      <c r="BP2" s="24"/>
      <c r="BQ2" s="25"/>
    </row>
    <row r="3" spans="1:69" ht="16.5" customHeight="1" thickBot="1" x14ac:dyDescent="0.3">
      <c r="A3" s="7"/>
      <c r="B3" s="7"/>
      <c r="C3" s="7"/>
      <c r="D3" s="7"/>
      <c r="E3" s="7"/>
      <c r="F3" s="7"/>
      <c r="G3" s="7"/>
      <c r="I3" s="6"/>
      <c r="J3" s="9" t="s">
        <v>48</v>
      </c>
      <c r="K3" s="9" t="s">
        <v>49</v>
      </c>
      <c r="L3" s="9" t="s">
        <v>50</v>
      </c>
      <c r="M3" s="9" t="s">
        <v>51</v>
      </c>
      <c r="N3" s="9" t="s">
        <v>52</v>
      </c>
      <c r="O3" s="9" t="s">
        <v>53</v>
      </c>
      <c r="P3" s="9" t="s">
        <v>54</v>
      </c>
      <c r="Q3" s="9" t="s">
        <v>55</v>
      </c>
      <c r="R3" s="9" t="s">
        <v>56</v>
      </c>
      <c r="T3" s="9" t="s">
        <v>48</v>
      </c>
      <c r="U3" s="9" t="s">
        <v>49</v>
      </c>
      <c r="V3" s="9" t="s">
        <v>50</v>
      </c>
      <c r="W3" s="9" t="s">
        <v>51</v>
      </c>
      <c r="X3" s="9" t="s">
        <v>52</v>
      </c>
      <c r="Y3" s="9" t="s">
        <v>53</v>
      </c>
      <c r="Z3" s="9" t="s">
        <v>54</v>
      </c>
      <c r="AA3" s="9" t="s">
        <v>55</v>
      </c>
      <c r="AB3" s="9" t="s">
        <v>56</v>
      </c>
      <c r="AD3" s="9" t="s">
        <v>48</v>
      </c>
      <c r="AE3" s="9" t="s">
        <v>49</v>
      </c>
      <c r="AF3" s="9" t="s">
        <v>50</v>
      </c>
      <c r="AG3" s="9" t="s">
        <v>51</v>
      </c>
      <c r="AH3" s="9" t="s">
        <v>52</v>
      </c>
      <c r="AI3" s="9" t="s">
        <v>53</v>
      </c>
      <c r="AJ3" s="9" t="s">
        <v>54</v>
      </c>
      <c r="AK3" s="9" t="s">
        <v>55</v>
      </c>
      <c r="AL3" s="9" t="s">
        <v>56</v>
      </c>
      <c r="AN3" s="6"/>
      <c r="AO3" s="9" t="s">
        <v>48</v>
      </c>
      <c r="AP3" s="9" t="s">
        <v>49</v>
      </c>
      <c r="AQ3" s="9" t="s">
        <v>50</v>
      </c>
      <c r="AR3" s="9" t="s">
        <v>51</v>
      </c>
      <c r="AS3" s="9" t="s">
        <v>52</v>
      </c>
      <c r="AT3" s="9" t="s">
        <v>53</v>
      </c>
      <c r="AU3" s="9" t="s">
        <v>54</v>
      </c>
      <c r="AV3" s="9" t="s">
        <v>55</v>
      </c>
      <c r="AW3" s="9" t="s">
        <v>56</v>
      </c>
      <c r="AY3" s="9" t="s">
        <v>48</v>
      </c>
      <c r="AZ3" s="9" t="s">
        <v>49</v>
      </c>
      <c r="BA3" s="9" t="s">
        <v>50</v>
      </c>
      <c r="BB3" s="9" t="s">
        <v>51</v>
      </c>
      <c r="BC3" s="9" t="s">
        <v>52</v>
      </c>
      <c r="BD3" s="9" t="s">
        <v>53</v>
      </c>
      <c r="BE3" s="9" t="s">
        <v>54</v>
      </c>
      <c r="BF3" s="9" t="s">
        <v>55</v>
      </c>
      <c r="BG3" s="9" t="s">
        <v>56</v>
      </c>
      <c r="BI3" s="9" t="s">
        <v>48</v>
      </c>
      <c r="BJ3" s="9" t="s">
        <v>49</v>
      </c>
      <c r="BK3" s="9" t="s">
        <v>50</v>
      </c>
      <c r="BL3" s="9" t="s">
        <v>51</v>
      </c>
      <c r="BM3" s="9" t="s">
        <v>52</v>
      </c>
      <c r="BN3" s="9" t="s">
        <v>53</v>
      </c>
      <c r="BO3" s="9" t="s">
        <v>54</v>
      </c>
      <c r="BP3" s="9" t="s">
        <v>55</v>
      </c>
      <c r="BQ3" s="9" t="s">
        <v>56</v>
      </c>
    </row>
    <row r="4" spans="1:69" ht="16.5" thickTop="1" thickBot="1" x14ac:dyDescent="0.3">
      <c r="A4" s="3" t="s">
        <v>7</v>
      </c>
      <c r="B4" s="3" t="s">
        <v>8</v>
      </c>
      <c r="C4" s="3"/>
      <c r="D4" s="4" t="s">
        <v>9</v>
      </c>
      <c r="E4" s="3" t="s">
        <v>10</v>
      </c>
      <c r="F4" s="3" t="s">
        <v>10</v>
      </c>
      <c r="G4" s="3" t="s">
        <v>11</v>
      </c>
      <c r="J4" s="10" t="s">
        <v>550</v>
      </c>
      <c r="K4" s="10" t="s">
        <v>551</v>
      </c>
      <c r="L4" s="10" t="s">
        <v>552</v>
      </c>
      <c r="M4" s="10" t="s">
        <v>553</v>
      </c>
      <c r="N4" s="10" t="s">
        <v>81</v>
      </c>
      <c r="O4" s="10" t="s">
        <v>62</v>
      </c>
      <c r="P4" s="10" t="s">
        <v>70</v>
      </c>
      <c r="Q4" s="10" t="s">
        <v>74</v>
      </c>
      <c r="R4" s="10" t="s">
        <v>76</v>
      </c>
      <c r="S4" s="10" t="s">
        <v>116</v>
      </c>
      <c r="T4" s="10" t="s">
        <v>554</v>
      </c>
      <c r="U4" s="10" t="s">
        <v>555</v>
      </c>
      <c r="V4" s="10" t="s">
        <v>556</v>
      </c>
      <c r="W4" s="10" t="s">
        <v>557</v>
      </c>
      <c r="X4" s="10" t="s">
        <v>84</v>
      </c>
      <c r="Y4" s="10" t="s">
        <v>60</v>
      </c>
      <c r="Z4" s="10" t="s">
        <v>66</v>
      </c>
      <c r="AA4" s="10" t="s">
        <v>66</v>
      </c>
      <c r="AB4" s="10" t="s">
        <v>79</v>
      </c>
      <c r="AC4" s="10" t="s">
        <v>116</v>
      </c>
      <c r="AD4" s="10" t="s">
        <v>558</v>
      </c>
      <c r="AE4" s="10" t="s">
        <v>559</v>
      </c>
      <c r="AF4" s="10" t="s">
        <v>560</v>
      </c>
      <c r="AG4" s="10" t="s">
        <v>561</v>
      </c>
      <c r="AH4" s="10" t="s">
        <v>83</v>
      </c>
      <c r="AI4" s="10" t="s">
        <v>64</v>
      </c>
      <c r="AJ4" s="10" t="s">
        <v>68</v>
      </c>
      <c r="AK4" s="10" t="s">
        <v>72</v>
      </c>
      <c r="AL4" s="10" t="s">
        <v>78</v>
      </c>
      <c r="AO4" s="10" t="s">
        <v>620</v>
      </c>
      <c r="AP4" s="10" t="s">
        <v>621</v>
      </c>
      <c r="AQ4" s="10" t="s">
        <v>622</v>
      </c>
      <c r="AR4" s="10" t="s">
        <v>623</v>
      </c>
      <c r="AS4" s="10" t="s">
        <v>80</v>
      </c>
      <c r="AT4" s="10" t="s">
        <v>63</v>
      </c>
      <c r="AU4" s="10" t="s">
        <v>69</v>
      </c>
      <c r="AV4" s="10" t="s">
        <v>73</v>
      </c>
      <c r="AW4" s="10" t="s">
        <v>75</v>
      </c>
      <c r="AX4" s="10" t="s">
        <v>116</v>
      </c>
      <c r="AY4" s="10" t="s">
        <v>624</v>
      </c>
      <c r="AZ4" s="10" t="s">
        <v>625</v>
      </c>
      <c r="BA4" s="10" t="s">
        <v>626</v>
      </c>
      <c r="BB4" s="10" t="s">
        <v>627</v>
      </c>
      <c r="BC4" s="10" t="s">
        <v>628</v>
      </c>
      <c r="BD4" s="10" t="s">
        <v>61</v>
      </c>
      <c r="BE4" s="10" t="s">
        <v>629</v>
      </c>
      <c r="BF4" s="10" t="s">
        <v>630</v>
      </c>
      <c r="BG4" s="10" t="s">
        <v>631</v>
      </c>
      <c r="BH4" s="10" t="s">
        <v>116</v>
      </c>
      <c r="BI4" s="10" t="s">
        <v>632</v>
      </c>
      <c r="BJ4" s="10" t="s">
        <v>633</v>
      </c>
      <c r="BK4" s="10" t="s">
        <v>634</v>
      </c>
      <c r="BL4" s="10" t="s">
        <v>635</v>
      </c>
      <c r="BM4" s="10" t="s">
        <v>82</v>
      </c>
      <c r="BN4" s="10" t="s">
        <v>65</v>
      </c>
      <c r="BO4" s="10" t="s">
        <v>67</v>
      </c>
      <c r="BP4" s="10" t="s">
        <v>71</v>
      </c>
      <c r="BQ4" s="10" t="s">
        <v>77</v>
      </c>
    </row>
    <row r="5" spans="1:69" ht="15.75" thickBot="1" x14ac:dyDescent="0.3">
      <c r="A5" s="1" t="s">
        <v>12</v>
      </c>
      <c r="B5" s="1" t="s">
        <v>13</v>
      </c>
      <c r="C5" s="1" t="s">
        <v>14</v>
      </c>
      <c r="D5" s="2" t="s">
        <v>15</v>
      </c>
      <c r="E5" s="1" t="s">
        <v>10</v>
      </c>
      <c r="F5" s="1" t="s">
        <v>10</v>
      </c>
      <c r="G5" s="1" t="s">
        <v>11</v>
      </c>
      <c r="J5" s="11" t="s">
        <v>563</v>
      </c>
      <c r="K5" s="11" t="s">
        <v>564</v>
      </c>
      <c r="L5" s="11" t="s">
        <v>565</v>
      </c>
      <c r="M5" s="11" t="s">
        <v>566</v>
      </c>
      <c r="N5" s="11" t="s">
        <v>567</v>
      </c>
      <c r="O5" s="11" t="s">
        <v>568</v>
      </c>
      <c r="P5" s="11" t="s">
        <v>569</v>
      </c>
      <c r="Q5" s="11" t="s">
        <v>570</v>
      </c>
      <c r="R5" s="11" t="s">
        <v>571</v>
      </c>
      <c r="S5" s="11" t="s">
        <v>116</v>
      </c>
      <c r="T5" s="11" t="s">
        <v>572</v>
      </c>
      <c r="U5" s="11" t="s">
        <v>573</v>
      </c>
      <c r="V5" s="11" t="s">
        <v>574</v>
      </c>
      <c r="W5" s="11" t="s">
        <v>575</v>
      </c>
      <c r="X5" s="11" t="s">
        <v>576</v>
      </c>
      <c r="Y5" s="11" t="s">
        <v>577</v>
      </c>
      <c r="Z5" s="11" t="s">
        <v>578</v>
      </c>
      <c r="AA5" s="11" t="s">
        <v>579</v>
      </c>
      <c r="AB5" s="11" t="s">
        <v>580</v>
      </c>
      <c r="AC5" s="11" t="s">
        <v>116</v>
      </c>
      <c r="AD5" s="11" t="s">
        <v>581</v>
      </c>
      <c r="AE5" s="11" t="s">
        <v>582</v>
      </c>
      <c r="AF5" s="11" t="s">
        <v>581</v>
      </c>
      <c r="AG5" s="11" t="s">
        <v>583</v>
      </c>
      <c r="AH5" s="11" t="s">
        <v>584</v>
      </c>
      <c r="AI5" s="11" t="s">
        <v>585</v>
      </c>
      <c r="AJ5" s="11" t="s">
        <v>586</v>
      </c>
      <c r="AK5" s="11" t="s">
        <v>587</v>
      </c>
      <c r="AL5" s="11" t="s">
        <v>588</v>
      </c>
      <c r="AO5" s="11" t="s">
        <v>636</v>
      </c>
      <c r="AP5" s="11" t="s">
        <v>637</v>
      </c>
      <c r="AQ5" s="11" t="s">
        <v>638</v>
      </c>
      <c r="AR5" s="11" t="s">
        <v>639</v>
      </c>
      <c r="AS5" s="11" t="s">
        <v>640</v>
      </c>
      <c r="AT5" s="11" t="s">
        <v>641</v>
      </c>
      <c r="AU5" s="11" t="s">
        <v>642</v>
      </c>
      <c r="AV5" s="11" t="s">
        <v>643</v>
      </c>
      <c r="AW5" s="11" t="s">
        <v>644</v>
      </c>
      <c r="AX5" s="11" t="s">
        <v>116</v>
      </c>
      <c r="AY5" s="11" t="s">
        <v>645</v>
      </c>
      <c r="AZ5" s="11" t="s">
        <v>646</v>
      </c>
      <c r="BA5" s="11" t="s">
        <v>647</v>
      </c>
      <c r="BB5" s="11" t="s">
        <v>648</v>
      </c>
      <c r="BC5" s="11" t="s">
        <v>649</v>
      </c>
      <c r="BD5" s="11" t="s">
        <v>650</v>
      </c>
      <c r="BE5" s="11" t="s">
        <v>651</v>
      </c>
      <c r="BF5" s="11" t="s">
        <v>652</v>
      </c>
      <c r="BG5" s="11" t="s">
        <v>653</v>
      </c>
      <c r="BH5" s="11" t="s">
        <v>116</v>
      </c>
      <c r="BI5" s="11" t="s">
        <v>654</v>
      </c>
      <c r="BJ5" s="11" t="s">
        <v>655</v>
      </c>
      <c r="BK5" s="11" t="s">
        <v>656</v>
      </c>
      <c r="BL5" s="11" t="s">
        <v>657</v>
      </c>
      <c r="BM5" s="11" t="s">
        <v>658</v>
      </c>
      <c r="BN5" s="11" t="s">
        <v>659</v>
      </c>
      <c r="BO5" s="11" t="s">
        <v>660</v>
      </c>
      <c r="BP5" s="11" t="s">
        <v>661</v>
      </c>
      <c r="BQ5" s="11" t="s">
        <v>662</v>
      </c>
    </row>
    <row r="6" spans="1:69" ht="15.75" thickBot="1" x14ac:dyDescent="0.3">
      <c r="A6" s="1" t="s">
        <v>16</v>
      </c>
      <c r="B6" s="1" t="s">
        <v>17</v>
      </c>
      <c r="C6" s="1" t="s">
        <v>14</v>
      </c>
      <c r="D6" s="2" t="s">
        <v>18</v>
      </c>
      <c r="E6" s="1" t="s">
        <v>10</v>
      </c>
      <c r="F6" s="1" t="s">
        <v>19</v>
      </c>
      <c r="G6" s="1" t="s">
        <v>11</v>
      </c>
      <c r="J6" s="10" t="s">
        <v>121</v>
      </c>
      <c r="K6" s="10" t="s">
        <v>122</v>
      </c>
      <c r="L6" s="10" t="s">
        <v>123</v>
      </c>
      <c r="M6" s="10" t="s">
        <v>124</v>
      </c>
      <c r="N6" s="10" t="s">
        <v>125</v>
      </c>
      <c r="O6" s="10" t="s">
        <v>126</v>
      </c>
      <c r="P6" s="10" t="s">
        <v>127</v>
      </c>
      <c r="Q6" s="10" t="s">
        <v>128</v>
      </c>
      <c r="R6" s="10" t="s">
        <v>129</v>
      </c>
      <c r="S6" s="10" t="s">
        <v>116</v>
      </c>
      <c r="T6" s="10" t="s">
        <v>115</v>
      </c>
      <c r="U6" s="10" t="s">
        <v>130</v>
      </c>
      <c r="V6" s="10" t="s">
        <v>131</v>
      </c>
      <c r="W6" s="10" t="s">
        <v>132</v>
      </c>
      <c r="X6" s="10" t="s">
        <v>133</v>
      </c>
      <c r="Y6" s="10" t="s">
        <v>134</v>
      </c>
      <c r="Z6" s="10" t="s">
        <v>135</v>
      </c>
      <c r="AA6" s="10" t="s">
        <v>136</v>
      </c>
      <c r="AB6" s="10" t="s">
        <v>137</v>
      </c>
      <c r="AC6" s="10" t="s">
        <v>116</v>
      </c>
      <c r="AD6" s="10" t="s">
        <v>138</v>
      </c>
      <c r="AE6" s="10" t="s">
        <v>139</v>
      </c>
      <c r="AF6" s="10" t="s">
        <v>138</v>
      </c>
      <c r="AG6" s="10" t="s">
        <v>140</v>
      </c>
      <c r="AH6" s="10" t="s">
        <v>141</v>
      </c>
      <c r="AI6" s="10" t="s">
        <v>142</v>
      </c>
      <c r="AJ6" s="10" t="s">
        <v>143</v>
      </c>
      <c r="AK6" s="10" t="s">
        <v>144</v>
      </c>
      <c r="AL6" s="10" t="s">
        <v>145</v>
      </c>
      <c r="AO6" s="10" t="s">
        <v>334</v>
      </c>
      <c r="AP6" s="10" t="s">
        <v>335</v>
      </c>
      <c r="AQ6" s="10" t="s">
        <v>336</v>
      </c>
      <c r="AR6" s="10" t="s">
        <v>337</v>
      </c>
      <c r="AS6" s="10" t="s">
        <v>338</v>
      </c>
      <c r="AT6" s="10" t="s">
        <v>339</v>
      </c>
      <c r="AU6" s="10" t="s">
        <v>340</v>
      </c>
      <c r="AV6" s="10" t="s">
        <v>341</v>
      </c>
      <c r="AW6" s="10" t="s">
        <v>342</v>
      </c>
      <c r="AX6" s="10" t="s">
        <v>116</v>
      </c>
      <c r="AY6" s="10" t="s">
        <v>343</v>
      </c>
      <c r="AZ6" s="10" t="s">
        <v>344</v>
      </c>
      <c r="BA6" s="10" t="s">
        <v>345</v>
      </c>
      <c r="BB6" s="10" t="s">
        <v>346</v>
      </c>
      <c r="BC6" s="10" t="s">
        <v>347</v>
      </c>
      <c r="BD6" s="10" t="s">
        <v>348</v>
      </c>
      <c r="BE6" s="10" t="s">
        <v>349</v>
      </c>
      <c r="BF6" s="10" t="s">
        <v>350</v>
      </c>
      <c r="BG6" s="10" t="s">
        <v>351</v>
      </c>
      <c r="BH6" s="10" t="s">
        <v>116</v>
      </c>
      <c r="BI6" s="10" t="s">
        <v>352</v>
      </c>
      <c r="BJ6" s="10" t="s">
        <v>353</v>
      </c>
      <c r="BK6" s="10" t="s">
        <v>354</v>
      </c>
      <c r="BL6" s="10" t="s">
        <v>355</v>
      </c>
      <c r="BM6" s="10" t="s">
        <v>356</v>
      </c>
      <c r="BN6" s="10" t="s">
        <v>357</v>
      </c>
      <c r="BO6" s="10" t="s">
        <v>358</v>
      </c>
      <c r="BP6" s="10" t="s">
        <v>359</v>
      </c>
      <c r="BQ6" s="10" t="s">
        <v>360</v>
      </c>
    </row>
    <row r="7" spans="1:69" ht="15.75" thickBot="1" x14ac:dyDescent="0.3">
      <c r="A7" s="1" t="s">
        <v>20</v>
      </c>
      <c r="B7" s="1" t="s">
        <v>8</v>
      </c>
      <c r="C7" s="1" t="s">
        <v>21</v>
      </c>
      <c r="D7" s="2" t="s">
        <v>22</v>
      </c>
      <c r="E7" s="1" t="s">
        <v>10</v>
      </c>
      <c r="F7" s="1" t="s">
        <v>10</v>
      </c>
      <c r="G7" s="1" t="s">
        <v>23</v>
      </c>
      <c r="J7" s="11" t="s">
        <v>147</v>
      </c>
      <c r="K7" s="11" t="s">
        <v>148</v>
      </c>
      <c r="L7" s="11" t="s">
        <v>149</v>
      </c>
      <c r="M7" s="11" t="s">
        <v>150</v>
      </c>
      <c r="N7" s="11" t="s">
        <v>151</v>
      </c>
      <c r="O7" s="11" t="s">
        <v>152</v>
      </c>
      <c r="P7" s="11" t="s">
        <v>153</v>
      </c>
      <c r="Q7" s="11" t="s">
        <v>154</v>
      </c>
      <c r="R7" s="11" t="s">
        <v>155</v>
      </c>
      <c r="S7" s="11" t="s">
        <v>116</v>
      </c>
      <c r="T7" s="11" t="s">
        <v>156</v>
      </c>
      <c r="U7" s="11" t="s">
        <v>156</v>
      </c>
      <c r="V7" s="11" t="s">
        <v>157</v>
      </c>
      <c r="W7" s="11" t="s">
        <v>158</v>
      </c>
      <c r="X7" s="11" t="s">
        <v>159</v>
      </c>
      <c r="Y7" s="11" t="s">
        <v>160</v>
      </c>
      <c r="Z7" s="11" t="s">
        <v>161</v>
      </c>
      <c r="AA7" s="11" t="s">
        <v>162</v>
      </c>
      <c r="AB7" s="11" t="s">
        <v>163</v>
      </c>
      <c r="AC7" s="11" t="s">
        <v>116</v>
      </c>
      <c r="AD7" s="11" t="s">
        <v>164</v>
      </c>
      <c r="AE7" s="11" t="s">
        <v>165</v>
      </c>
      <c r="AF7" s="11" t="s">
        <v>166</v>
      </c>
      <c r="AG7" s="11" t="s">
        <v>167</v>
      </c>
      <c r="AH7" s="11" t="s">
        <v>168</v>
      </c>
      <c r="AI7" s="11" t="s">
        <v>150</v>
      </c>
      <c r="AJ7" s="11" t="s">
        <v>169</v>
      </c>
      <c r="AK7" s="11" t="s">
        <v>170</v>
      </c>
      <c r="AL7" s="11" t="s">
        <v>171</v>
      </c>
      <c r="AO7" s="11" t="s">
        <v>361</v>
      </c>
      <c r="AP7" s="11" t="s">
        <v>362</v>
      </c>
      <c r="AQ7" s="11" t="s">
        <v>363</v>
      </c>
      <c r="AR7" s="11" t="s">
        <v>364</v>
      </c>
      <c r="AS7" s="11" t="s">
        <v>365</v>
      </c>
      <c r="AT7" s="11" t="s">
        <v>366</v>
      </c>
      <c r="AU7" s="11" t="s">
        <v>367</v>
      </c>
      <c r="AV7" s="11" t="s">
        <v>368</v>
      </c>
      <c r="AW7" s="11" t="s">
        <v>369</v>
      </c>
      <c r="AX7" s="11" t="s">
        <v>116</v>
      </c>
      <c r="AY7" s="11" t="s">
        <v>370</v>
      </c>
      <c r="AZ7" s="11" t="s">
        <v>371</v>
      </c>
      <c r="BA7" s="11" t="s">
        <v>372</v>
      </c>
      <c r="BB7" s="11" t="s">
        <v>373</v>
      </c>
      <c r="BC7" s="11" t="s">
        <v>374</v>
      </c>
      <c r="BD7" s="11" t="s">
        <v>375</v>
      </c>
      <c r="BE7" s="11" t="s">
        <v>376</v>
      </c>
      <c r="BF7" s="11" t="s">
        <v>377</v>
      </c>
      <c r="BG7" s="11" t="s">
        <v>378</v>
      </c>
      <c r="BH7" s="11" t="s">
        <v>116</v>
      </c>
      <c r="BI7" s="11" t="s">
        <v>379</v>
      </c>
      <c r="BJ7" s="11" t="s">
        <v>380</v>
      </c>
      <c r="BK7" s="11" t="s">
        <v>381</v>
      </c>
      <c r="BL7" s="11" t="s">
        <v>382</v>
      </c>
      <c r="BM7" s="11" t="s">
        <v>383</v>
      </c>
      <c r="BN7" s="11" t="s">
        <v>384</v>
      </c>
      <c r="BO7" s="11" t="s">
        <v>385</v>
      </c>
      <c r="BP7" s="11" t="s">
        <v>386</v>
      </c>
      <c r="BQ7" s="11" t="s">
        <v>387</v>
      </c>
    </row>
    <row r="8" spans="1:69" ht="15.75" thickBot="1" x14ac:dyDescent="0.3">
      <c r="A8" s="1" t="s">
        <v>24</v>
      </c>
      <c r="B8" s="1" t="s">
        <v>8</v>
      </c>
      <c r="C8" s="1" t="s">
        <v>14</v>
      </c>
      <c r="D8" s="2" t="s">
        <v>18</v>
      </c>
      <c r="E8" s="1" t="s">
        <v>25</v>
      </c>
      <c r="F8" s="1" t="s">
        <v>10</v>
      </c>
      <c r="G8" s="1" t="s">
        <v>26</v>
      </c>
      <c r="J8" s="10" t="s">
        <v>173</v>
      </c>
      <c r="K8" s="10" t="s">
        <v>174</v>
      </c>
      <c r="L8" s="10" t="s">
        <v>174</v>
      </c>
      <c r="M8" s="10" t="s">
        <v>175</v>
      </c>
      <c r="N8" s="10" t="s">
        <v>176</v>
      </c>
      <c r="O8" s="10" t="s">
        <v>174</v>
      </c>
      <c r="P8" s="10" t="s">
        <v>177</v>
      </c>
      <c r="Q8" s="10" t="s">
        <v>178</v>
      </c>
      <c r="R8" s="10" t="s">
        <v>179</v>
      </c>
      <c r="S8" s="10" t="s">
        <v>116</v>
      </c>
      <c r="T8" s="10" t="s">
        <v>180</v>
      </c>
      <c r="U8" s="10" t="s">
        <v>181</v>
      </c>
      <c r="V8" s="10" t="s">
        <v>182</v>
      </c>
      <c r="W8" s="10" t="s">
        <v>183</v>
      </c>
      <c r="X8" s="10" t="s">
        <v>184</v>
      </c>
      <c r="Y8" s="10" t="s">
        <v>185</v>
      </c>
      <c r="Z8" s="10" t="s">
        <v>186</v>
      </c>
      <c r="AA8" s="10" t="s">
        <v>187</v>
      </c>
      <c r="AB8" s="10" t="s">
        <v>188</v>
      </c>
      <c r="AC8" s="10" t="s">
        <v>116</v>
      </c>
      <c r="AD8" s="10" t="s">
        <v>189</v>
      </c>
      <c r="AE8" s="10" t="s">
        <v>190</v>
      </c>
      <c r="AF8" s="10" t="s">
        <v>191</v>
      </c>
      <c r="AG8" s="10" t="s">
        <v>192</v>
      </c>
      <c r="AH8" s="10" t="s">
        <v>193</v>
      </c>
      <c r="AI8" s="10" t="s">
        <v>194</v>
      </c>
      <c r="AJ8" s="10" t="s">
        <v>195</v>
      </c>
      <c r="AK8" s="10" t="s">
        <v>196</v>
      </c>
      <c r="AL8" s="10" t="s">
        <v>197</v>
      </c>
      <c r="AO8" s="10" t="s">
        <v>388</v>
      </c>
      <c r="AP8" s="10" t="s">
        <v>389</v>
      </c>
      <c r="AQ8" s="10" t="s">
        <v>390</v>
      </c>
      <c r="AR8" s="10" t="s">
        <v>391</v>
      </c>
      <c r="AS8" s="10" t="s">
        <v>392</v>
      </c>
      <c r="AT8" s="10" t="s">
        <v>393</v>
      </c>
      <c r="AU8" s="10" t="s">
        <v>394</v>
      </c>
      <c r="AV8" s="10" t="s">
        <v>395</v>
      </c>
      <c r="AW8" s="10" t="s">
        <v>396</v>
      </c>
      <c r="AX8" s="10" t="s">
        <v>116</v>
      </c>
      <c r="AY8" s="10" t="s">
        <v>397</v>
      </c>
      <c r="AZ8" s="10" t="s">
        <v>398</v>
      </c>
      <c r="BA8" s="10" t="s">
        <v>399</v>
      </c>
      <c r="BB8" s="10" t="s">
        <v>400</v>
      </c>
      <c r="BC8" s="10" t="s">
        <v>401</v>
      </c>
      <c r="BD8" s="10" t="s">
        <v>402</v>
      </c>
      <c r="BE8" s="10" t="s">
        <v>403</v>
      </c>
      <c r="BF8" s="10" t="s">
        <v>404</v>
      </c>
      <c r="BG8" s="10" t="s">
        <v>405</v>
      </c>
      <c r="BH8" s="10" t="s">
        <v>116</v>
      </c>
      <c r="BI8" s="10" t="s">
        <v>406</v>
      </c>
      <c r="BJ8" s="10" t="s">
        <v>407</v>
      </c>
      <c r="BK8" s="10" t="s">
        <v>408</v>
      </c>
      <c r="BL8" s="10" t="s">
        <v>409</v>
      </c>
      <c r="BM8" s="10" t="s">
        <v>410</v>
      </c>
      <c r="BN8" s="10" t="s">
        <v>411</v>
      </c>
      <c r="BO8" s="10" t="s">
        <v>412</v>
      </c>
      <c r="BP8" s="10" t="s">
        <v>413</v>
      </c>
      <c r="BQ8" s="10" t="s">
        <v>414</v>
      </c>
    </row>
    <row r="9" spans="1:69" ht="15.75" thickBot="1" x14ac:dyDescent="0.3">
      <c r="A9" s="1" t="s">
        <v>27</v>
      </c>
      <c r="B9" s="1" t="s">
        <v>8</v>
      </c>
      <c r="C9" s="1" t="s">
        <v>14</v>
      </c>
      <c r="D9" s="2" t="s">
        <v>28</v>
      </c>
      <c r="E9" s="1" t="s">
        <v>10</v>
      </c>
      <c r="F9" s="1" t="s">
        <v>10</v>
      </c>
      <c r="G9" s="1" t="s">
        <v>23</v>
      </c>
      <c r="J9" s="11" t="s">
        <v>199</v>
      </c>
      <c r="K9" s="11" t="s">
        <v>200</v>
      </c>
      <c r="L9" s="11" t="s">
        <v>201</v>
      </c>
      <c r="M9" s="11" t="s">
        <v>202</v>
      </c>
      <c r="N9" s="11" t="s">
        <v>203</v>
      </c>
      <c r="O9" s="11" t="s">
        <v>204</v>
      </c>
      <c r="P9" s="11" t="s">
        <v>205</v>
      </c>
      <c r="Q9" s="11" t="s">
        <v>206</v>
      </c>
      <c r="R9" s="11" t="s">
        <v>207</v>
      </c>
      <c r="S9" s="11" t="s">
        <v>116</v>
      </c>
      <c r="T9" s="11" t="s">
        <v>208</v>
      </c>
      <c r="U9" s="11" t="s">
        <v>209</v>
      </c>
      <c r="V9" s="11" t="s">
        <v>210</v>
      </c>
      <c r="W9" s="11" t="s">
        <v>211</v>
      </c>
      <c r="X9" s="11" t="s">
        <v>212</v>
      </c>
      <c r="Y9" s="11" t="s">
        <v>213</v>
      </c>
      <c r="Z9" s="11" t="s">
        <v>214</v>
      </c>
      <c r="AA9" s="11" t="s">
        <v>215</v>
      </c>
      <c r="AB9" s="11" t="s">
        <v>216</v>
      </c>
      <c r="AC9" s="11" t="s">
        <v>116</v>
      </c>
      <c r="AD9" s="11" t="s">
        <v>217</v>
      </c>
      <c r="AE9" s="11" t="s">
        <v>218</v>
      </c>
      <c r="AF9" s="11" t="s">
        <v>219</v>
      </c>
      <c r="AG9" s="11" t="s">
        <v>220</v>
      </c>
      <c r="AH9" s="11" t="s">
        <v>221</v>
      </c>
      <c r="AI9" s="11" t="s">
        <v>222</v>
      </c>
      <c r="AJ9" s="11" t="s">
        <v>223</v>
      </c>
      <c r="AK9" s="11" t="s">
        <v>224</v>
      </c>
      <c r="AL9" s="11" t="s">
        <v>225</v>
      </c>
      <c r="AO9" s="11" t="s">
        <v>415</v>
      </c>
      <c r="AP9" s="11" t="s">
        <v>416</v>
      </c>
      <c r="AQ9" s="11" t="s">
        <v>417</v>
      </c>
      <c r="AR9" s="11" t="s">
        <v>418</v>
      </c>
      <c r="AS9" s="11" t="s">
        <v>419</v>
      </c>
      <c r="AT9" s="11" t="s">
        <v>420</v>
      </c>
      <c r="AU9" s="11" t="s">
        <v>421</v>
      </c>
      <c r="AV9" s="11" t="s">
        <v>422</v>
      </c>
      <c r="AW9" s="11" t="s">
        <v>423</v>
      </c>
      <c r="AX9" s="11" t="s">
        <v>116</v>
      </c>
      <c r="AY9" s="11" t="s">
        <v>424</v>
      </c>
      <c r="AZ9" s="11" t="s">
        <v>425</v>
      </c>
      <c r="BA9" s="11" t="s">
        <v>426</v>
      </c>
      <c r="BB9" s="11" t="s">
        <v>427</v>
      </c>
      <c r="BC9" s="11" t="s">
        <v>428</v>
      </c>
      <c r="BD9" s="11" t="s">
        <v>429</v>
      </c>
      <c r="BE9" s="11" t="s">
        <v>430</v>
      </c>
      <c r="BF9" s="11" t="s">
        <v>431</v>
      </c>
      <c r="BG9" s="11" t="s">
        <v>432</v>
      </c>
      <c r="BH9" s="11" t="s">
        <v>116</v>
      </c>
      <c r="BI9" s="11" t="s">
        <v>433</v>
      </c>
      <c r="BJ9" s="11" t="s">
        <v>434</v>
      </c>
      <c r="BK9" s="11" t="s">
        <v>435</v>
      </c>
      <c r="BL9" s="11" t="s">
        <v>436</v>
      </c>
      <c r="BM9" s="11" t="s">
        <v>437</v>
      </c>
      <c r="BN9" s="11" t="s">
        <v>438</v>
      </c>
      <c r="BO9" s="11" t="s">
        <v>439</v>
      </c>
      <c r="BP9" s="11" t="s">
        <v>440</v>
      </c>
      <c r="BQ9" s="11" t="s">
        <v>441</v>
      </c>
    </row>
    <row r="10" spans="1:69" ht="15.75" thickBot="1" x14ac:dyDescent="0.3">
      <c r="A10" s="1" t="s">
        <v>29</v>
      </c>
      <c r="B10" s="1" t="s">
        <v>8</v>
      </c>
      <c r="C10" s="1" t="s">
        <v>21</v>
      </c>
      <c r="D10" s="2" t="s">
        <v>30</v>
      </c>
      <c r="E10" s="1" t="s">
        <v>10</v>
      </c>
      <c r="F10" s="1" t="s">
        <v>10</v>
      </c>
      <c r="G10" s="1" t="s">
        <v>31</v>
      </c>
      <c r="J10" s="10" t="s">
        <v>227</v>
      </c>
      <c r="K10" s="10" t="s">
        <v>228</v>
      </c>
      <c r="L10" s="10" t="s">
        <v>229</v>
      </c>
      <c r="M10" s="10" t="s">
        <v>230</v>
      </c>
      <c r="N10" s="10" t="s">
        <v>231</v>
      </c>
      <c r="O10" s="10" t="s">
        <v>232</v>
      </c>
      <c r="P10" s="10" t="s">
        <v>233</v>
      </c>
      <c r="Q10" s="10" t="s">
        <v>234</v>
      </c>
      <c r="R10" s="10" t="s">
        <v>235</v>
      </c>
      <c r="S10" s="10" t="s">
        <v>116</v>
      </c>
      <c r="T10" s="10" t="s">
        <v>236</v>
      </c>
      <c r="U10" s="10" t="s">
        <v>237</v>
      </c>
      <c r="V10" s="10" t="s">
        <v>238</v>
      </c>
      <c r="W10" s="10" t="s">
        <v>239</v>
      </c>
      <c r="X10" s="10" t="s">
        <v>240</v>
      </c>
      <c r="Y10" s="10" t="s">
        <v>241</v>
      </c>
      <c r="Z10" s="10" t="s">
        <v>242</v>
      </c>
      <c r="AA10" s="10" t="s">
        <v>243</v>
      </c>
      <c r="AB10" s="10" t="s">
        <v>244</v>
      </c>
      <c r="AC10" s="10" t="s">
        <v>116</v>
      </c>
      <c r="AD10" s="10" t="s">
        <v>245</v>
      </c>
      <c r="AE10" s="10" t="s">
        <v>246</v>
      </c>
      <c r="AF10" s="10" t="s">
        <v>247</v>
      </c>
      <c r="AG10" s="10" t="s">
        <v>248</v>
      </c>
      <c r="AH10" s="10" t="s">
        <v>249</v>
      </c>
      <c r="AI10" s="10" t="s">
        <v>250</v>
      </c>
      <c r="AJ10" s="10" t="s">
        <v>251</v>
      </c>
      <c r="AK10" s="10" t="s">
        <v>252</v>
      </c>
      <c r="AL10" s="10" t="s">
        <v>253</v>
      </c>
      <c r="AO10" s="10" t="s">
        <v>442</v>
      </c>
      <c r="AP10" s="10" t="s">
        <v>443</v>
      </c>
      <c r="AQ10" s="10" t="s">
        <v>444</v>
      </c>
      <c r="AR10" s="10" t="s">
        <v>445</v>
      </c>
      <c r="AS10" s="10" t="s">
        <v>446</v>
      </c>
      <c r="AT10" s="10" t="s">
        <v>447</v>
      </c>
      <c r="AU10" s="10" t="s">
        <v>448</v>
      </c>
      <c r="AV10" s="10" t="s">
        <v>449</v>
      </c>
      <c r="AW10" s="10" t="s">
        <v>450</v>
      </c>
      <c r="AX10" s="10" t="s">
        <v>116</v>
      </c>
      <c r="AY10" s="10" t="s">
        <v>451</v>
      </c>
      <c r="AZ10" s="10" t="s">
        <v>452</v>
      </c>
      <c r="BA10" s="10" t="s">
        <v>453</v>
      </c>
      <c r="BB10" s="10" t="s">
        <v>454</v>
      </c>
      <c r="BC10" s="10" t="s">
        <v>455</v>
      </c>
      <c r="BD10" s="10" t="s">
        <v>456</v>
      </c>
      <c r="BE10" s="10" t="s">
        <v>457</v>
      </c>
      <c r="BF10" s="10" t="s">
        <v>458</v>
      </c>
      <c r="BG10" s="10" t="s">
        <v>459</v>
      </c>
      <c r="BH10" s="10" t="s">
        <v>116</v>
      </c>
      <c r="BI10" s="10" t="s">
        <v>460</v>
      </c>
      <c r="BJ10" s="10" t="s">
        <v>461</v>
      </c>
      <c r="BK10" s="10" t="s">
        <v>462</v>
      </c>
      <c r="BL10" s="10" t="s">
        <v>463</v>
      </c>
      <c r="BM10" s="10" t="s">
        <v>464</v>
      </c>
      <c r="BN10" s="10" t="s">
        <v>465</v>
      </c>
      <c r="BO10" s="10" t="s">
        <v>466</v>
      </c>
      <c r="BP10" s="10" t="s">
        <v>467</v>
      </c>
      <c r="BQ10" s="10" t="s">
        <v>468</v>
      </c>
    </row>
    <row r="11" spans="1:69" ht="15.75" thickBot="1" x14ac:dyDescent="0.3">
      <c r="A11" s="1" t="s">
        <v>32</v>
      </c>
      <c r="B11" s="1" t="s">
        <v>8</v>
      </c>
      <c r="C11" s="1" t="s">
        <v>14</v>
      </c>
      <c r="D11" s="2" t="s">
        <v>15</v>
      </c>
      <c r="E11" s="1" t="s">
        <v>10</v>
      </c>
      <c r="F11" s="1" t="s">
        <v>10</v>
      </c>
      <c r="G11" s="1" t="s">
        <v>31</v>
      </c>
      <c r="J11" s="11" t="s">
        <v>255</v>
      </c>
      <c r="K11" s="11" t="s">
        <v>256</v>
      </c>
      <c r="L11" s="11" t="s">
        <v>257</v>
      </c>
      <c r="M11" s="11" t="s">
        <v>258</v>
      </c>
      <c r="N11" s="11" t="s">
        <v>259</v>
      </c>
      <c r="O11" s="11" t="s">
        <v>260</v>
      </c>
      <c r="P11" s="11" t="s">
        <v>261</v>
      </c>
      <c r="Q11" s="11" t="s">
        <v>262</v>
      </c>
      <c r="R11" s="11" t="s">
        <v>263</v>
      </c>
      <c r="S11" s="11" t="s">
        <v>116</v>
      </c>
      <c r="T11" s="11" t="s">
        <v>264</v>
      </c>
      <c r="U11" s="11" t="s">
        <v>265</v>
      </c>
      <c r="V11" s="11" t="s">
        <v>266</v>
      </c>
      <c r="W11" s="11" t="s">
        <v>267</v>
      </c>
      <c r="X11" s="11" t="s">
        <v>268</v>
      </c>
      <c r="Y11" s="11" t="s">
        <v>269</v>
      </c>
      <c r="Z11" s="11" t="s">
        <v>270</v>
      </c>
      <c r="AA11" s="11" t="s">
        <v>271</v>
      </c>
      <c r="AB11" s="11" t="s">
        <v>272</v>
      </c>
      <c r="AC11" s="11" t="s">
        <v>116</v>
      </c>
      <c r="AD11" s="11" t="s">
        <v>273</v>
      </c>
      <c r="AE11" s="11" t="s">
        <v>273</v>
      </c>
      <c r="AF11" s="11" t="s">
        <v>274</v>
      </c>
      <c r="AG11" s="11" t="s">
        <v>275</v>
      </c>
      <c r="AH11" s="11" t="s">
        <v>276</v>
      </c>
      <c r="AI11" s="11" t="s">
        <v>273</v>
      </c>
      <c r="AJ11" s="11" t="s">
        <v>277</v>
      </c>
      <c r="AK11" s="11" t="s">
        <v>278</v>
      </c>
      <c r="AL11" s="11" t="s">
        <v>279</v>
      </c>
      <c r="AO11" s="11" t="s">
        <v>469</v>
      </c>
      <c r="AP11" s="11" t="s">
        <v>470</v>
      </c>
      <c r="AQ11" s="11" t="s">
        <v>471</v>
      </c>
      <c r="AR11" s="11" t="s">
        <v>472</v>
      </c>
      <c r="AS11" s="11" t="s">
        <v>473</v>
      </c>
      <c r="AT11" s="11" t="s">
        <v>474</v>
      </c>
      <c r="AU11" s="11" t="s">
        <v>475</v>
      </c>
      <c r="AV11" s="11" t="s">
        <v>476</v>
      </c>
      <c r="AW11" s="11" t="s">
        <v>477</v>
      </c>
      <c r="AX11" s="11" t="s">
        <v>116</v>
      </c>
      <c r="AY11" s="11" t="s">
        <v>478</v>
      </c>
      <c r="AZ11" s="11" t="s">
        <v>479</v>
      </c>
      <c r="BA11" s="11" t="s">
        <v>480</v>
      </c>
      <c r="BB11" s="11" t="s">
        <v>481</v>
      </c>
      <c r="BC11" s="11" t="s">
        <v>482</v>
      </c>
      <c r="BD11" s="11" t="s">
        <v>483</v>
      </c>
      <c r="BE11" s="11" t="s">
        <v>484</v>
      </c>
      <c r="BF11" s="11" t="s">
        <v>485</v>
      </c>
      <c r="BG11" s="11" t="s">
        <v>486</v>
      </c>
      <c r="BH11" s="11" t="s">
        <v>116</v>
      </c>
      <c r="BI11" s="11" t="s">
        <v>273</v>
      </c>
      <c r="BJ11" s="11" t="s">
        <v>487</v>
      </c>
      <c r="BK11" s="11" t="s">
        <v>488</v>
      </c>
      <c r="BL11" s="11" t="s">
        <v>489</v>
      </c>
      <c r="BM11" s="11" t="s">
        <v>490</v>
      </c>
      <c r="BN11" s="11" t="s">
        <v>491</v>
      </c>
      <c r="BO11" s="11" t="s">
        <v>492</v>
      </c>
      <c r="BP11" s="11" t="s">
        <v>493</v>
      </c>
      <c r="BQ11" s="11" t="s">
        <v>494</v>
      </c>
    </row>
    <row r="12" spans="1:69" ht="15.75" thickBot="1" x14ac:dyDescent="0.3">
      <c r="A12" s="1" t="s">
        <v>33</v>
      </c>
      <c r="B12" s="1" t="s">
        <v>8</v>
      </c>
      <c r="C12" s="1" t="s">
        <v>21</v>
      </c>
      <c r="D12" s="2" t="s">
        <v>34</v>
      </c>
      <c r="E12" s="1" t="s">
        <v>10</v>
      </c>
      <c r="F12" s="1" t="s">
        <v>10</v>
      </c>
      <c r="G12" s="1" t="s">
        <v>11</v>
      </c>
      <c r="J12" s="10" t="s">
        <v>281</v>
      </c>
      <c r="K12" s="10" t="s">
        <v>282</v>
      </c>
      <c r="L12" s="10" t="s">
        <v>283</v>
      </c>
      <c r="M12" s="10" t="s">
        <v>284</v>
      </c>
      <c r="N12" s="10" t="s">
        <v>285</v>
      </c>
      <c r="O12" s="10" t="s">
        <v>286</v>
      </c>
      <c r="P12" s="10" t="s">
        <v>287</v>
      </c>
      <c r="Q12" s="10" t="s">
        <v>283</v>
      </c>
      <c r="R12" s="10" t="s">
        <v>288</v>
      </c>
      <c r="S12" s="10" t="s">
        <v>116</v>
      </c>
      <c r="T12" s="10" t="s">
        <v>289</v>
      </c>
      <c r="U12" s="10" t="s">
        <v>290</v>
      </c>
      <c r="V12" s="10" t="s">
        <v>291</v>
      </c>
      <c r="W12" s="10" t="s">
        <v>292</v>
      </c>
      <c r="X12" s="10" t="s">
        <v>293</v>
      </c>
      <c r="Y12" s="10" t="s">
        <v>294</v>
      </c>
      <c r="Z12" s="10" t="s">
        <v>295</v>
      </c>
      <c r="AA12" s="10" t="s">
        <v>296</v>
      </c>
      <c r="AB12" s="10" t="s">
        <v>297</v>
      </c>
      <c r="AC12" s="10" t="s">
        <v>116</v>
      </c>
      <c r="AD12" s="10" t="s">
        <v>298</v>
      </c>
      <c r="AE12" s="10" t="s">
        <v>299</v>
      </c>
      <c r="AF12" s="10" t="s">
        <v>300</v>
      </c>
      <c r="AG12" s="10" t="s">
        <v>301</v>
      </c>
      <c r="AH12" s="10" t="s">
        <v>302</v>
      </c>
      <c r="AI12" s="10" t="s">
        <v>303</v>
      </c>
      <c r="AJ12" s="10" t="s">
        <v>302</v>
      </c>
      <c r="AK12" s="10" t="s">
        <v>304</v>
      </c>
      <c r="AL12" s="10" t="s">
        <v>305</v>
      </c>
      <c r="AO12" s="10" t="s">
        <v>495</v>
      </c>
      <c r="AP12" s="10" t="s">
        <v>496</v>
      </c>
      <c r="AQ12" s="10" t="s">
        <v>497</v>
      </c>
      <c r="AR12" s="10" t="s">
        <v>498</v>
      </c>
      <c r="AS12" s="10" t="s">
        <v>499</v>
      </c>
      <c r="AT12" s="10" t="s">
        <v>500</v>
      </c>
      <c r="AU12" s="10" t="s">
        <v>501</v>
      </c>
      <c r="AV12" s="10" t="s">
        <v>502</v>
      </c>
      <c r="AW12" s="10" t="s">
        <v>503</v>
      </c>
      <c r="AX12" s="10" t="s">
        <v>116</v>
      </c>
      <c r="AY12" s="10" t="s">
        <v>504</v>
      </c>
      <c r="AZ12" s="10" t="s">
        <v>505</v>
      </c>
      <c r="BA12" s="10" t="s">
        <v>506</v>
      </c>
      <c r="BB12" s="10" t="s">
        <v>507</v>
      </c>
      <c r="BC12" s="10" t="s">
        <v>508</v>
      </c>
      <c r="BD12" s="10" t="s">
        <v>509</v>
      </c>
      <c r="BE12" s="10" t="s">
        <v>510</v>
      </c>
      <c r="BF12" s="10" t="s">
        <v>511</v>
      </c>
      <c r="BG12" s="10" t="s">
        <v>512</v>
      </c>
      <c r="BH12" s="10" t="s">
        <v>116</v>
      </c>
      <c r="BI12" s="10" t="s">
        <v>513</v>
      </c>
      <c r="BJ12" s="10" t="s">
        <v>514</v>
      </c>
      <c r="BK12" s="10" t="s">
        <v>515</v>
      </c>
      <c r="BL12" s="10" t="s">
        <v>516</v>
      </c>
      <c r="BM12" s="10" t="s">
        <v>517</v>
      </c>
      <c r="BN12" s="10" t="s">
        <v>518</v>
      </c>
      <c r="BO12" s="10" t="s">
        <v>519</v>
      </c>
      <c r="BP12" s="10" t="s">
        <v>520</v>
      </c>
      <c r="BQ12" s="10" t="s">
        <v>521</v>
      </c>
    </row>
    <row r="13" spans="1:69" ht="15.75" thickBot="1" x14ac:dyDescent="0.3">
      <c r="A13" s="1" t="s">
        <v>35</v>
      </c>
      <c r="B13" s="1" t="s">
        <v>8</v>
      </c>
      <c r="C13" s="1" t="s">
        <v>21</v>
      </c>
      <c r="D13" s="2" t="s">
        <v>36</v>
      </c>
      <c r="E13" s="1" t="s">
        <v>10</v>
      </c>
      <c r="F13" s="1" t="s">
        <v>10</v>
      </c>
      <c r="G13" s="1" t="s">
        <v>11</v>
      </c>
      <c r="J13" s="11" t="s">
        <v>307</v>
      </c>
      <c r="K13" s="11" t="s">
        <v>308</v>
      </c>
      <c r="L13" s="11" t="s">
        <v>309</v>
      </c>
      <c r="M13" s="11" t="s">
        <v>310</v>
      </c>
      <c r="N13" s="11" t="s">
        <v>311</v>
      </c>
      <c r="O13" s="11" t="s">
        <v>312</v>
      </c>
      <c r="P13" s="11" t="s">
        <v>313</v>
      </c>
      <c r="Q13" s="11" t="s">
        <v>314</v>
      </c>
      <c r="R13" s="11" t="s">
        <v>315</v>
      </c>
      <c r="S13" s="11" t="s">
        <v>116</v>
      </c>
      <c r="T13" s="11" t="s">
        <v>316</v>
      </c>
      <c r="U13" s="11" t="s">
        <v>317</v>
      </c>
      <c r="V13" s="11" t="s">
        <v>318</v>
      </c>
      <c r="W13" s="11" t="s">
        <v>319</v>
      </c>
      <c r="X13" s="11" t="s">
        <v>320</v>
      </c>
      <c r="Y13" s="11" t="s">
        <v>321</v>
      </c>
      <c r="Z13" s="11" t="s">
        <v>322</v>
      </c>
      <c r="AA13" s="11" t="s">
        <v>323</v>
      </c>
      <c r="AB13" s="11" t="s">
        <v>324</v>
      </c>
      <c r="AC13" s="11" t="s">
        <v>116</v>
      </c>
      <c r="AD13" s="11" t="s">
        <v>325</v>
      </c>
      <c r="AE13" s="11" t="s">
        <v>326</v>
      </c>
      <c r="AF13" s="11" t="s">
        <v>327</v>
      </c>
      <c r="AG13" s="11" t="s">
        <v>328</v>
      </c>
      <c r="AH13" s="11" t="s">
        <v>329</v>
      </c>
      <c r="AI13" s="11" t="s">
        <v>330</v>
      </c>
      <c r="AJ13" s="11" t="s">
        <v>331</v>
      </c>
      <c r="AK13" s="11" t="s">
        <v>332</v>
      </c>
      <c r="AL13" s="11" t="s">
        <v>333</v>
      </c>
      <c r="AO13" s="11" t="s">
        <v>522</v>
      </c>
      <c r="AP13" s="11" t="s">
        <v>523</v>
      </c>
      <c r="AQ13" s="11" t="s">
        <v>524</v>
      </c>
      <c r="AR13" s="11" t="s">
        <v>525</v>
      </c>
      <c r="AS13" s="11" t="s">
        <v>526</v>
      </c>
      <c r="AT13" s="11" t="s">
        <v>527</v>
      </c>
      <c r="AU13" s="11" t="s">
        <v>528</v>
      </c>
      <c r="AV13" s="11" t="s">
        <v>529</v>
      </c>
      <c r="AW13" s="11" t="s">
        <v>530</v>
      </c>
      <c r="AX13" s="11" t="s">
        <v>116</v>
      </c>
      <c r="AY13" s="11" t="s">
        <v>531</v>
      </c>
      <c r="AZ13" s="11" t="s">
        <v>532</v>
      </c>
      <c r="BA13" s="11" t="s">
        <v>533</v>
      </c>
      <c r="BB13" s="11" t="s">
        <v>534</v>
      </c>
      <c r="BC13" s="11" t="s">
        <v>535</v>
      </c>
      <c r="BD13" s="11" t="s">
        <v>536</v>
      </c>
      <c r="BE13" s="11" t="s">
        <v>537</v>
      </c>
      <c r="BF13" s="11" t="s">
        <v>538</v>
      </c>
      <c r="BG13" s="11" t="s">
        <v>539</v>
      </c>
      <c r="BH13" s="11" t="s">
        <v>116</v>
      </c>
      <c r="BI13" s="11" t="s">
        <v>540</v>
      </c>
      <c r="BJ13" s="11" t="s">
        <v>541</v>
      </c>
      <c r="BK13" s="11" t="s">
        <v>542</v>
      </c>
      <c r="BL13" s="11" t="s">
        <v>543</v>
      </c>
      <c r="BM13" s="11" t="s">
        <v>544</v>
      </c>
      <c r="BN13" s="11" t="s">
        <v>545</v>
      </c>
      <c r="BO13" s="11" t="s">
        <v>546</v>
      </c>
      <c r="BP13" s="11" t="s">
        <v>547</v>
      </c>
      <c r="BQ13" s="11" t="s">
        <v>548</v>
      </c>
    </row>
    <row r="14" spans="1:69" ht="15.75" thickBot="1" x14ac:dyDescent="0.3">
      <c r="A14" s="1" t="s">
        <v>37</v>
      </c>
      <c r="B14" s="1" t="s">
        <v>8</v>
      </c>
      <c r="C14" s="1" t="s">
        <v>14</v>
      </c>
      <c r="D14" s="2" t="s">
        <v>38</v>
      </c>
      <c r="E14" s="1" t="s">
        <v>10</v>
      </c>
      <c r="F14" s="1" t="s">
        <v>10</v>
      </c>
      <c r="G14" s="1" t="s">
        <v>11</v>
      </c>
      <c r="J14" s="10" t="s">
        <v>703</v>
      </c>
      <c r="K14" s="10" t="s">
        <v>704</v>
      </c>
      <c r="L14" s="10" t="s">
        <v>705</v>
      </c>
      <c r="M14" s="10" t="s">
        <v>706</v>
      </c>
      <c r="N14" s="10" t="s">
        <v>707</v>
      </c>
      <c r="O14" s="10" t="s">
        <v>708</v>
      </c>
      <c r="P14" s="10" t="s">
        <v>709</v>
      </c>
      <c r="Q14" s="10" t="s">
        <v>710</v>
      </c>
      <c r="R14" s="10" t="s">
        <v>711</v>
      </c>
      <c r="S14" s="10" t="s">
        <v>116</v>
      </c>
      <c r="T14" s="10" t="s">
        <v>712</v>
      </c>
      <c r="U14" s="10" t="s">
        <v>713</v>
      </c>
      <c r="V14" s="10" t="s">
        <v>714</v>
      </c>
      <c r="W14" s="10" t="s">
        <v>715</v>
      </c>
      <c r="X14" s="10" t="s">
        <v>716</v>
      </c>
      <c r="Y14" s="10" t="s">
        <v>717</v>
      </c>
      <c r="Z14" s="10" t="s">
        <v>718</v>
      </c>
      <c r="AA14" s="10" t="s">
        <v>719</v>
      </c>
      <c r="AB14" s="10" t="s">
        <v>720</v>
      </c>
      <c r="AC14" s="10" t="s">
        <v>116</v>
      </c>
      <c r="AD14" s="10" t="s">
        <v>721</v>
      </c>
      <c r="AE14" s="10" t="s">
        <v>722</v>
      </c>
      <c r="AF14" s="10" t="s">
        <v>273</v>
      </c>
      <c r="AG14" s="10" t="s">
        <v>273</v>
      </c>
      <c r="AH14" s="10" t="s">
        <v>723</v>
      </c>
      <c r="AI14" s="10" t="s">
        <v>724</v>
      </c>
      <c r="AJ14" s="10" t="s">
        <v>725</v>
      </c>
      <c r="AK14" s="10" t="s">
        <v>726</v>
      </c>
      <c r="AL14" s="10" t="s">
        <v>727</v>
      </c>
      <c r="AO14" s="10" t="s">
        <v>755</v>
      </c>
      <c r="AP14" s="10" t="s">
        <v>756</v>
      </c>
      <c r="AQ14" s="10" t="s">
        <v>757</v>
      </c>
      <c r="AR14" s="10" t="s">
        <v>758</v>
      </c>
      <c r="AS14" s="10" t="s">
        <v>759</v>
      </c>
      <c r="AT14" s="10" t="s">
        <v>760</v>
      </c>
      <c r="AU14" s="10" t="s">
        <v>761</v>
      </c>
      <c r="AV14" s="10" t="s">
        <v>762</v>
      </c>
      <c r="AW14" s="10" t="s">
        <v>763</v>
      </c>
      <c r="AX14" s="10" t="s">
        <v>116</v>
      </c>
      <c r="AY14" s="10" t="s">
        <v>764</v>
      </c>
      <c r="AZ14" s="10" t="s">
        <v>765</v>
      </c>
      <c r="BA14" s="10" t="s">
        <v>766</v>
      </c>
      <c r="BB14" s="10" t="s">
        <v>767</v>
      </c>
      <c r="BC14" s="10" t="s">
        <v>768</v>
      </c>
      <c r="BD14" s="10" t="s">
        <v>769</v>
      </c>
      <c r="BE14" s="10" t="s">
        <v>770</v>
      </c>
      <c r="BF14" s="10" t="s">
        <v>771</v>
      </c>
      <c r="BG14" s="10" t="s">
        <v>772</v>
      </c>
      <c r="BH14" s="10" t="s">
        <v>116</v>
      </c>
      <c r="BI14" s="10" t="s">
        <v>773</v>
      </c>
      <c r="BJ14" s="10" t="s">
        <v>774</v>
      </c>
      <c r="BK14" s="10" t="s">
        <v>775</v>
      </c>
      <c r="BL14" s="10" t="s">
        <v>776</v>
      </c>
      <c r="BM14" s="10" t="s">
        <v>777</v>
      </c>
      <c r="BN14" s="10" t="s">
        <v>778</v>
      </c>
      <c r="BO14" s="10" t="s">
        <v>779</v>
      </c>
      <c r="BP14" s="10" t="s">
        <v>780</v>
      </c>
      <c r="BQ14" s="10" t="s">
        <v>781</v>
      </c>
    </row>
    <row r="15" spans="1:69" ht="15.75" thickBot="1" x14ac:dyDescent="0.3">
      <c r="A15" s="1" t="s">
        <v>39</v>
      </c>
      <c r="B15" s="1" t="s">
        <v>8</v>
      </c>
      <c r="C15" s="1" t="s">
        <v>21</v>
      </c>
      <c r="D15" s="2" t="s">
        <v>40</v>
      </c>
      <c r="E15" s="1" t="s">
        <v>10</v>
      </c>
      <c r="F15" s="1" t="s">
        <v>10</v>
      </c>
      <c r="G15" s="1" t="s">
        <v>23</v>
      </c>
      <c r="J15" s="11" t="s">
        <v>729</v>
      </c>
      <c r="K15" s="11" t="s">
        <v>730</v>
      </c>
      <c r="L15" s="11" t="s">
        <v>731</v>
      </c>
      <c r="M15" s="11" t="s">
        <v>732</v>
      </c>
      <c r="N15" s="11" t="s">
        <v>733</v>
      </c>
      <c r="O15" s="11" t="s">
        <v>734</v>
      </c>
      <c r="P15" s="11" t="s">
        <v>735</v>
      </c>
      <c r="Q15" s="11" t="s">
        <v>736</v>
      </c>
      <c r="R15" s="11" t="s">
        <v>737</v>
      </c>
      <c r="S15" s="11" t="s">
        <v>116</v>
      </c>
      <c r="T15" s="11" t="s">
        <v>738</v>
      </c>
      <c r="U15" s="11" t="s">
        <v>739</v>
      </c>
      <c r="V15" s="11" t="s">
        <v>740</v>
      </c>
      <c r="W15" s="11" t="s">
        <v>741</v>
      </c>
      <c r="X15" s="11" t="s">
        <v>742</v>
      </c>
      <c r="Y15" s="11" t="s">
        <v>743</v>
      </c>
      <c r="Z15" s="11" t="s">
        <v>744</v>
      </c>
      <c r="AA15" s="11" t="s">
        <v>743</v>
      </c>
      <c r="AB15" s="11" t="s">
        <v>745</v>
      </c>
      <c r="AC15" s="11" t="s">
        <v>116</v>
      </c>
      <c r="AD15" s="11" t="s">
        <v>746</v>
      </c>
      <c r="AE15" s="11" t="s">
        <v>747</v>
      </c>
      <c r="AF15" s="11" t="s">
        <v>748</v>
      </c>
      <c r="AG15" s="11" t="s">
        <v>749</v>
      </c>
      <c r="AH15" s="11" t="s">
        <v>750</v>
      </c>
      <c r="AI15" s="11" t="s">
        <v>751</v>
      </c>
      <c r="AJ15" s="11" t="s">
        <v>752</v>
      </c>
      <c r="AK15" s="11" t="s">
        <v>753</v>
      </c>
      <c r="AL15" s="11" t="s">
        <v>754</v>
      </c>
      <c r="AO15" s="11" t="s">
        <v>782</v>
      </c>
      <c r="AP15" s="11" t="s">
        <v>783</v>
      </c>
      <c r="AQ15" s="11" t="s">
        <v>784</v>
      </c>
      <c r="AR15" s="11" t="s">
        <v>785</v>
      </c>
      <c r="AS15" s="11" t="s">
        <v>786</v>
      </c>
      <c r="AT15" s="11" t="s">
        <v>787</v>
      </c>
      <c r="AU15" s="11" t="s">
        <v>788</v>
      </c>
      <c r="AV15" s="11" t="s">
        <v>789</v>
      </c>
      <c r="AW15" s="11" t="s">
        <v>790</v>
      </c>
      <c r="AX15" s="11" t="s">
        <v>116</v>
      </c>
      <c r="AY15" s="11" t="s">
        <v>791</v>
      </c>
      <c r="AZ15" s="11" t="s">
        <v>792</v>
      </c>
      <c r="BA15" s="11" t="s">
        <v>793</v>
      </c>
      <c r="BB15" s="11" t="s">
        <v>794</v>
      </c>
      <c r="BC15" s="11" t="s">
        <v>795</v>
      </c>
      <c r="BD15" s="11" t="s">
        <v>796</v>
      </c>
      <c r="BE15" s="11" t="s">
        <v>797</v>
      </c>
      <c r="BF15" s="11" t="s">
        <v>798</v>
      </c>
      <c r="BG15" s="11" t="s">
        <v>799</v>
      </c>
      <c r="BH15" s="11" t="s">
        <v>116</v>
      </c>
      <c r="BI15" s="11" t="s">
        <v>800</v>
      </c>
      <c r="BJ15" s="11" t="s">
        <v>801</v>
      </c>
      <c r="BK15" s="11" t="s">
        <v>802</v>
      </c>
      <c r="BL15" s="11" t="s">
        <v>803</v>
      </c>
      <c r="BM15" s="11" t="s">
        <v>804</v>
      </c>
      <c r="BN15" s="11" t="s">
        <v>805</v>
      </c>
      <c r="BO15" s="11" t="s">
        <v>806</v>
      </c>
      <c r="BP15" s="11" t="s">
        <v>807</v>
      </c>
      <c r="BQ15" s="11" t="s">
        <v>808</v>
      </c>
    </row>
    <row r="16" spans="1:69" ht="15.75" thickBot="1" x14ac:dyDescent="0.3">
      <c r="A16" s="1" t="s">
        <v>41</v>
      </c>
      <c r="B16" s="1" t="s">
        <v>8</v>
      </c>
      <c r="C16" s="1" t="s">
        <v>14</v>
      </c>
      <c r="D16" s="2" t="s">
        <v>42</v>
      </c>
      <c r="E16" s="1" t="s">
        <v>10</v>
      </c>
      <c r="F16" s="1" t="s">
        <v>10</v>
      </c>
      <c r="G16" s="1" t="s">
        <v>26</v>
      </c>
      <c r="J16" s="10" t="s">
        <v>590</v>
      </c>
      <c r="K16" s="10" t="s">
        <v>591</v>
      </c>
      <c r="L16" s="10" t="s">
        <v>592</v>
      </c>
      <c r="M16" s="10" t="s">
        <v>593</v>
      </c>
      <c r="N16" s="10" t="s">
        <v>594</v>
      </c>
      <c r="O16" s="10" t="s">
        <v>591</v>
      </c>
      <c r="P16" s="10" t="s">
        <v>595</v>
      </c>
      <c r="Q16" s="10" t="s">
        <v>596</v>
      </c>
      <c r="R16" s="10" t="s">
        <v>596</v>
      </c>
      <c r="S16" s="10" t="s">
        <v>116</v>
      </c>
      <c r="T16" s="10" t="s">
        <v>597</v>
      </c>
      <c r="U16" s="10" t="s">
        <v>598</v>
      </c>
      <c r="V16" s="10" t="s">
        <v>599</v>
      </c>
      <c r="W16" s="10" t="s">
        <v>599</v>
      </c>
      <c r="X16" s="10" t="s">
        <v>600</v>
      </c>
      <c r="Y16" s="10" t="s">
        <v>601</v>
      </c>
      <c r="Z16" s="10" t="s">
        <v>602</v>
      </c>
      <c r="AA16" s="10" t="s">
        <v>603</v>
      </c>
      <c r="AB16" s="10" t="s">
        <v>602</v>
      </c>
      <c r="AC16" s="10" t="s">
        <v>116</v>
      </c>
      <c r="AD16" s="10" t="s">
        <v>593</v>
      </c>
      <c r="AE16" s="10" t="s">
        <v>604</v>
      </c>
      <c r="AF16" s="10" t="s">
        <v>596</v>
      </c>
      <c r="AG16" s="10" t="s">
        <v>604</v>
      </c>
      <c r="AH16" s="10" t="s">
        <v>592</v>
      </c>
      <c r="AI16" s="10" t="s">
        <v>605</v>
      </c>
      <c r="AJ16" s="10" t="s">
        <v>596</v>
      </c>
      <c r="AK16" s="10" t="s">
        <v>592</v>
      </c>
      <c r="AL16" s="10" t="s">
        <v>596</v>
      </c>
      <c r="AO16" s="10" t="s">
        <v>663</v>
      </c>
      <c r="AP16" s="10" t="s">
        <v>664</v>
      </c>
      <c r="AQ16" s="10" t="s">
        <v>665</v>
      </c>
      <c r="AR16" s="10" t="s">
        <v>666</v>
      </c>
      <c r="AS16" s="10" t="s">
        <v>667</v>
      </c>
      <c r="AT16" s="10" t="s">
        <v>664</v>
      </c>
      <c r="AU16" s="10" t="s">
        <v>668</v>
      </c>
      <c r="AV16" s="10" t="s">
        <v>669</v>
      </c>
      <c r="AW16" s="10" t="s">
        <v>670</v>
      </c>
      <c r="AX16" s="10" t="s">
        <v>116</v>
      </c>
      <c r="AY16" s="10" t="s">
        <v>671</v>
      </c>
      <c r="AZ16" s="10" t="s">
        <v>672</v>
      </c>
      <c r="BA16" s="10" t="s">
        <v>671</v>
      </c>
      <c r="BB16" s="10" t="s">
        <v>673</v>
      </c>
      <c r="BC16" s="10" t="s">
        <v>674</v>
      </c>
      <c r="BD16" s="10" t="s">
        <v>675</v>
      </c>
      <c r="BE16" s="10" t="s">
        <v>675</v>
      </c>
      <c r="BF16" s="10" t="s">
        <v>671</v>
      </c>
      <c r="BG16" s="10" t="s">
        <v>672</v>
      </c>
      <c r="BH16" s="10" t="s">
        <v>116</v>
      </c>
      <c r="BI16" s="10" t="s">
        <v>676</v>
      </c>
      <c r="BJ16" s="10" t="s">
        <v>677</v>
      </c>
      <c r="BK16" s="10" t="s">
        <v>678</v>
      </c>
      <c r="BL16" s="10" t="s">
        <v>679</v>
      </c>
      <c r="BM16" s="10" t="s">
        <v>680</v>
      </c>
      <c r="BN16" s="10" t="s">
        <v>681</v>
      </c>
      <c r="BO16" s="10" t="s">
        <v>682</v>
      </c>
      <c r="BP16" s="10" t="s">
        <v>683</v>
      </c>
      <c r="BQ16" s="10" t="s">
        <v>679</v>
      </c>
    </row>
    <row r="17" spans="1:69" ht="15.75" thickBot="1" x14ac:dyDescent="0.3">
      <c r="A17" s="1" t="s">
        <v>43</v>
      </c>
      <c r="B17" s="1" t="s">
        <v>8</v>
      </c>
      <c r="C17" s="1" t="s">
        <v>21</v>
      </c>
      <c r="D17" s="2" t="s">
        <v>44</v>
      </c>
      <c r="E17" s="1" t="s">
        <v>10</v>
      </c>
      <c r="F17" s="1" t="s">
        <v>10</v>
      </c>
      <c r="G17" s="1" t="s">
        <v>26</v>
      </c>
      <c r="J17" s="11" t="s">
        <v>607</v>
      </c>
      <c r="K17" s="11" t="s">
        <v>608</v>
      </c>
      <c r="L17" s="11" t="s">
        <v>609</v>
      </c>
      <c r="M17" s="11" t="s">
        <v>609</v>
      </c>
      <c r="N17" s="11" t="s">
        <v>610</v>
      </c>
      <c r="O17" s="11" t="s">
        <v>611</v>
      </c>
      <c r="P17" s="11" t="s">
        <v>612</v>
      </c>
      <c r="Q17" s="11" t="s">
        <v>613</v>
      </c>
      <c r="R17" s="11" t="s">
        <v>614</v>
      </c>
      <c r="S17" s="11" t="s">
        <v>116</v>
      </c>
      <c r="T17" s="11" t="s">
        <v>599</v>
      </c>
      <c r="U17" s="11" t="s">
        <v>615</v>
      </c>
      <c r="V17" s="11" t="s">
        <v>603</v>
      </c>
      <c r="W17" s="11" t="s">
        <v>616</v>
      </c>
      <c r="X17" s="11" t="s">
        <v>603</v>
      </c>
      <c r="Y17" s="11" t="s">
        <v>617</v>
      </c>
      <c r="Z17" s="11" t="s">
        <v>615</v>
      </c>
      <c r="AA17" s="11" t="s">
        <v>617</v>
      </c>
      <c r="AB17" s="11" t="s">
        <v>617</v>
      </c>
      <c r="AC17" s="11" t="s">
        <v>116</v>
      </c>
      <c r="AD17" s="11" t="s">
        <v>600</v>
      </c>
      <c r="AE17" s="11" t="s">
        <v>618</v>
      </c>
      <c r="AF17" s="11" t="s">
        <v>605</v>
      </c>
      <c r="AG17" s="11" t="s">
        <v>600</v>
      </c>
      <c r="AH17" s="11" t="s">
        <v>615</v>
      </c>
      <c r="AI17" s="11" t="s">
        <v>619</v>
      </c>
      <c r="AJ17" s="11" t="s">
        <v>596</v>
      </c>
      <c r="AK17" s="11" t="s">
        <v>592</v>
      </c>
      <c r="AL17" s="11" t="s">
        <v>618</v>
      </c>
      <c r="AO17" s="11" t="s">
        <v>684</v>
      </c>
      <c r="AP17" s="11" t="s">
        <v>685</v>
      </c>
      <c r="AQ17" s="11" t="s">
        <v>686</v>
      </c>
      <c r="AR17" s="11" t="s">
        <v>687</v>
      </c>
      <c r="AS17" s="11" t="s">
        <v>688</v>
      </c>
      <c r="AT17" s="11" t="s">
        <v>689</v>
      </c>
      <c r="AU17" s="11" t="s">
        <v>689</v>
      </c>
      <c r="AV17" s="11" t="s">
        <v>690</v>
      </c>
      <c r="AW17" s="11" t="s">
        <v>691</v>
      </c>
      <c r="AX17" s="11" t="s">
        <v>116</v>
      </c>
      <c r="AY17" s="11" t="s">
        <v>692</v>
      </c>
      <c r="AZ17" s="11" t="s">
        <v>681</v>
      </c>
      <c r="BA17" s="11" t="s">
        <v>693</v>
      </c>
      <c r="BB17" s="11" t="s">
        <v>694</v>
      </c>
      <c r="BC17" s="11" t="s">
        <v>695</v>
      </c>
      <c r="BD17" s="11" t="s">
        <v>692</v>
      </c>
      <c r="BE17" s="11" t="s">
        <v>696</v>
      </c>
      <c r="BF17" s="11" t="s">
        <v>671</v>
      </c>
      <c r="BG17" s="11" t="s">
        <v>697</v>
      </c>
      <c r="BH17" s="11" t="s">
        <v>116</v>
      </c>
      <c r="BI17" s="11" t="s">
        <v>698</v>
      </c>
      <c r="BJ17" s="11" t="s">
        <v>699</v>
      </c>
      <c r="BK17" s="11" t="s">
        <v>700</v>
      </c>
      <c r="BL17" s="11" t="s">
        <v>700</v>
      </c>
      <c r="BM17" s="11" t="s">
        <v>674</v>
      </c>
      <c r="BN17" s="11" t="s">
        <v>698</v>
      </c>
      <c r="BO17" s="11" t="s">
        <v>681</v>
      </c>
      <c r="BP17" s="11" t="s">
        <v>681</v>
      </c>
      <c r="BQ17" s="11" t="s">
        <v>701</v>
      </c>
    </row>
    <row r="18" spans="1:69" x14ac:dyDescent="0.25">
      <c r="A18" s="5"/>
    </row>
  </sheetData>
  <mergeCells count="12">
    <mergeCell ref="J1:R1"/>
    <mergeCell ref="J2:R2"/>
    <mergeCell ref="T1:AB1"/>
    <mergeCell ref="T2:AB2"/>
    <mergeCell ref="AD1:AL1"/>
    <mergeCell ref="AD2:AL2"/>
    <mergeCell ref="AO1:AW1"/>
    <mergeCell ref="AY1:BG1"/>
    <mergeCell ref="BI1:BQ1"/>
    <mergeCell ref="AO2:AW2"/>
    <mergeCell ref="AY2:BG2"/>
    <mergeCell ref="BI2:BQ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22080-B93C-47DE-BA19-B6432E2AE830}">
  <dimension ref="A1:CN50"/>
  <sheetViews>
    <sheetView tabSelected="1" topLeftCell="A26" workbookViewId="0">
      <selection activeCell="Q24" sqref="Q24"/>
    </sheetView>
  </sheetViews>
  <sheetFormatPr defaultRowHeight="15" x14ac:dyDescent="0.25"/>
  <cols>
    <col min="17" max="17" width="12" bestFit="1" customWidth="1"/>
    <col min="18" max="18" width="11.5703125" bestFit="1" customWidth="1"/>
    <col min="20" max="20" width="20.28515625" bestFit="1" customWidth="1"/>
    <col min="21" max="25" width="19.85546875" bestFit="1" customWidth="1"/>
    <col min="26" max="26" width="18.85546875" bestFit="1" customWidth="1"/>
    <col min="27" max="28" width="19.85546875" bestFit="1" customWidth="1"/>
    <col min="46" max="46" width="19.85546875" bestFit="1" customWidth="1"/>
  </cols>
  <sheetData>
    <row r="1" spans="1:92" ht="15.75" thickBot="1" x14ac:dyDescent="0.3">
      <c r="A1" s="1" t="s">
        <v>7</v>
      </c>
      <c r="B1" s="1" t="s">
        <v>8</v>
      </c>
      <c r="C1" s="1"/>
      <c r="D1" s="2" t="s">
        <v>9</v>
      </c>
      <c r="E1" s="1" t="s">
        <v>10</v>
      </c>
      <c r="F1" s="1" t="s">
        <v>10</v>
      </c>
      <c r="G1" s="1" t="s">
        <v>11</v>
      </c>
      <c r="H1" s="2" t="s">
        <v>809</v>
      </c>
      <c r="I1" s="2" t="s">
        <v>810</v>
      </c>
      <c r="J1" s="2">
        <v>816</v>
      </c>
      <c r="K1" s="1"/>
      <c r="L1" s="2">
        <v>891</v>
      </c>
      <c r="M1" s="1"/>
      <c r="N1" s="2" t="s">
        <v>811</v>
      </c>
      <c r="O1" s="1"/>
      <c r="P1" s="1"/>
      <c r="Q1" s="2"/>
      <c r="R1" s="2"/>
      <c r="S1" s="2"/>
      <c r="T1" s="2" t="s">
        <v>812</v>
      </c>
      <c r="U1" s="2" t="s">
        <v>813</v>
      </c>
      <c r="V1" s="2" t="s">
        <v>814</v>
      </c>
      <c r="W1" s="2" t="s">
        <v>815</v>
      </c>
      <c r="X1" s="2" t="s">
        <v>816</v>
      </c>
      <c r="Y1" s="2" t="s">
        <v>817</v>
      </c>
      <c r="Z1" s="2" t="s">
        <v>818</v>
      </c>
      <c r="AA1" s="2" t="s">
        <v>819</v>
      </c>
      <c r="AB1" s="2" t="s">
        <v>820</v>
      </c>
      <c r="AC1" s="2" t="s">
        <v>821</v>
      </c>
      <c r="AD1" s="2" t="s">
        <v>822</v>
      </c>
      <c r="AE1" s="2" t="s">
        <v>823</v>
      </c>
      <c r="AF1" s="2" t="s">
        <v>824</v>
      </c>
      <c r="AG1" s="2" t="s">
        <v>825</v>
      </c>
      <c r="AH1" s="2" t="s">
        <v>826</v>
      </c>
      <c r="AI1" s="2" t="s">
        <v>827</v>
      </c>
      <c r="AJ1" s="2" t="s">
        <v>828</v>
      </c>
      <c r="AK1" s="2" t="s">
        <v>829</v>
      </c>
      <c r="AL1" s="2" t="s">
        <v>830</v>
      </c>
      <c r="AM1" s="2" t="s">
        <v>831</v>
      </c>
      <c r="AN1" s="2" t="s">
        <v>832</v>
      </c>
      <c r="AO1" s="2" t="s">
        <v>833</v>
      </c>
      <c r="AP1" s="2" t="s">
        <v>834</v>
      </c>
      <c r="AQ1" s="2" t="s">
        <v>835</v>
      </c>
      <c r="AR1" s="2" t="s">
        <v>836</v>
      </c>
      <c r="AS1" s="2" t="s">
        <v>837</v>
      </c>
      <c r="AT1" s="2" t="s">
        <v>838</v>
      </c>
      <c r="AU1" s="12"/>
      <c r="AV1" s="1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</row>
    <row r="2" spans="1:92" ht="27" thickBot="1" x14ac:dyDescent="0.3">
      <c r="A2" s="1" t="s">
        <v>12</v>
      </c>
      <c r="B2" s="1" t="s">
        <v>13</v>
      </c>
      <c r="C2" s="1" t="s">
        <v>14</v>
      </c>
      <c r="D2" s="2" t="s">
        <v>15</v>
      </c>
      <c r="E2" s="1" t="s">
        <v>10</v>
      </c>
      <c r="F2" s="1" t="s">
        <v>10</v>
      </c>
      <c r="G2" s="1" t="s">
        <v>11</v>
      </c>
      <c r="H2" s="2" t="s">
        <v>844</v>
      </c>
      <c r="I2" s="2" t="s">
        <v>845</v>
      </c>
      <c r="J2" s="2">
        <v>647</v>
      </c>
      <c r="K2" s="1"/>
      <c r="L2" s="2">
        <v>650</v>
      </c>
      <c r="M2" s="1"/>
      <c r="N2" s="2" t="s">
        <v>846</v>
      </c>
      <c r="O2" s="1"/>
      <c r="P2" s="1"/>
      <c r="Q2" s="2"/>
      <c r="R2" s="2"/>
      <c r="S2" s="2"/>
      <c r="T2" s="2" t="s">
        <v>847</v>
      </c>
      <c r="U2" s="2" t="s">
        <v>848</v>
      </c>
      <c r="V2" s="2" t="s">
        <v>849</v>
      </c>
      <c r="W2" s="2" t="s">
        <v>850</v>
      </c>
      <c r="X2" s="2" t="s">
        <v>851</v>
      </c>
      <c r="Y2" s="2" t="s">
        <v>852</v>
      </c>
      <c r="Z2" s="2" t="s">
        <v>853</v>
      </c>
      <c r="AA2" s="2" t="s">
        <v>854</v>
      </c>
      <c r="AB2" s="2" t="s">
        <v>855</v>
      </c>
      <c r="AC2" s="2" t="s">
        <v>857</v>
      </c>
      <c r="AD2" s="2" t="s">
        <v>858</v>
      </c>
      <c r="AE2" s="2" t="s">
        <v>859</v>
      </c>
      <c r="AF2" s="2" t="s">
        <v>860</v>
      </c>
      <c r="AG2" s="2" t="s">
        <v>856</v>
      </c>
      <c r="AH2" s="2" t="s">
        <v>861</v>
      </c>
      <c r="AI2" s="2" t="s">
        <v>847</v>
      </c>
      <c r="AJ2" s="2" t="s">
        <v>857</v>
      </c>
      <c r="AK2" s="2" t="s">
        <v>862</v>
      </c>
      <c r="AL2" s="2" t="s">
        <v>863</v>
      </c>
      <c r="AM2" s="2" t="s">
        <v>864</v>
      </c>
      <c r="AN2" s="2" t="s">
        <v>864</v>
      </c>
      <c r="AO2" s="2" t="s">
        <v>865</v>
      </c>
      <c r="AP2" s="2" t="s">
        <v>866</v>
      </c>
      <c r="AQ2" s="2" t="s">
        <v>867</v>
      </c>
      <c r="AR2" s="2" t="s">
        <v>868</v>
      </c>
      <c r="AS2" s="2" t="s">
        <v>869</v>
      </c>
      <c r="AT2" s="2" t="s">
        <v>870</v>
      </c>
      <c r="AU2" s="12"/>
      <c r="AV2" s="1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</row>
    <row r="3" spans="1:92" ht="27" thickBot="1" x14ac:dyDescent="0.3">
      <c r="A3" s="1" t="s">
        <v>16</v>
      </c>
      <c r="B3" s="1" t="s">
        <v>17</v>
      </c>
      <c r="C3" s="1" t="s">
        <v>14</v>
      </c>
      <c r="D3" s="2" t="s">
        <v>18</v>
      </c>
      <c r="E3" s="1" t="s">
        <v>10</v>
      </c>
      <c r="F3" s="1" t="s">
        <v>19</v>
      </c>
      <c r="G3" s="1" t="s">
        <v>11</v>
      </c>
      <c r="H3" s="2" t="s">
        <v>873</v>
      </c>
      <c r="I3" s="2" t="s">
        <v>874</v>
      </c>
      <c r="J3" s="2">
        <v>910</v>
      </c>
      <c r="K3" s="1"/>
      <c r="L3" s="2">
        <v>1000</v>
      </c>
      <c r="M3" s="1"/>
      <c r="N3" s="2" t="s">
        <v>875</v>
      </c>
      <c r="O3" s="1"/>
      <c r="P3" s="1"/>
      <c r="Q3" s="2"/>
      <c r="R3" s="2"/>
      <c r="S3" s="2"/>
      <c r="T3" s="2" t="s">
        <v>876</v>
      </c>
      <c r="U3" s="2" t="s">
        <v>877</v>
      </c>
      <c r="V3" s="2" t="s">
        <v>878</v>
      </c>
      <c r="W3" s="2" t="s">
        <v>879</v>
      </c>
      <c r="X3" s="2" t="s">
        <v>880</v>
      </c>
      <c r="Y3" s="2" t="s">
        <v>881</v>
      </c>
      <c r="Z3" s="2" t="s">
        <v>882</v>
      </c>
      <c r="AA3" s="2" t="s">
        <v>883</v>
      </c>
      <c r="AB3" s="2" t="s">
        <v>884</v>
      </c>
      <c r="AC3" s="2" t="s">
        <v>885</v>
      </c>
      <c r="AD3" s="2" t="s">
        <v>886</v>
      </c>
      <c r="AE3" s="2" t="s">
        <v>842</v>
      </c>
      <c r="AF3" s="2" t="s">
        <v>887</v>
      </c>
      <c r="AG3" s="2" t="s">
        <v>888</v>
      </c>
      <c r="AH3" s="2" t="s">
        <v>889</v>
      </c>
      <c r="AI3" s="2" t="s">
        <v>890</v>
      </c>
      <c r="AJ3" s="2" t="s">
        <v>891</v>
      </c>
      <c r="AK3" s="2" t="s">
        <v>892</v>
      </c>
      <c r="AL3" s="2" t="s">
        <v>893</v>
      </c>
      <c r="AM3" s="2" t="s">
        <v>894</v>
      </c>
      <c r="AN3" s="2" t="s">
        <v>894</v>
      </c>
      <c r="AO3" s="2" t="s">
        <v>895</v>
      </c>
      <c r="AP3" s="2" t="s">
        <v>896</v>
      </c>
      <c r="AQ3" s="2" t="s">
        <v>897</v>
      </c>
      <c r="AR3" s="2" t="s">
        <v>898</v>
      </c>
      <c r="AS3" s="2" t="s">
        <v>893</v>
      </c>
      <c r="AT3" s="2" t="s">
        <v>899</v>
      </c>
      <c r="AU3" s="12"/>
      <c r="AV3" s="1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</row>
    <row r="4" spans="1:92" ht="27" thickBot="1" x14ac:dyDescent="0.3">
      <c r="A4" s="1" t="s">
        <v>20</v>
      </c>
      <c r="B4" s="1" t="s">
        <v>8</v>
      </c>
      <c r="C4" s="1" t="s">
        <v>21</v>
      </c>
      <c r="D4" s="2" t="s">
        <v>22</v>
      </c>
      <c r="E4" s="1" t="s">
        <v>10</v>
      </c>
      <c r="F4" s="1" t="s">
        <v>10</v>
      </c>
      <c r="G4" s="1" t="s">
        <v>23</v>
      </c>
      <c r="H4" s="15">
        <v>185239</v>
      </c>
      <c r="I4" s="2" t="s">
        <v>917</v>
      </c>
      <c r="J4" s="2">
        <v>2272</v>
      </c>
      <c r="K4" s="1"/>
      <c r="L4" s="2">
        <v>2406</v>
      </c>
      <c r="M4" s="1"/>
      <c r="N4" s="2" t="s">
        <v>918</v>
      </c>
      <c r="O4" s="1"/>
      <c r="P4" s="1"/>
      <c r="Q4" s="2"/>
      <c r="R4" s="2"/>
      <c r="S4" s="2"/>
      <c r="T4" s="2" t="s">
        <v>919</v>
      </c>
      <c r="U4" s="2" t="s">
        <v>920</v>
      </c>
      <c r="V4" s="2" t="s">
        <v>921</v>
      </c>
      <c r="W4" s="2" t="s">
        <v>922</v>
      </c>
      <c r="X4" s="2" t="s">
        <v>923</v>
      </c>
      <c r="Y4" s="2" t="s">
        <v>924</v>
      </c>
      <c r="Z4" s="2" t="s">
        <v>925</v>
      </c>
      <c r="AA4" s="2" t="s">
        <v>871</v>
      </c>
      <c r="AB4" s="2" t="s">
        <v>926</v>
      </c>
      <c r="AC4" s="2" t="s">
        <v>927</v>
      </c>
      <c r="AD4" s="2" t="s">
        <v>928</v>
      </c>
      <c r="AE4" s="2" t="s">
        <v>929</v>
      </c>
      <c r="AF4" s="2" t="s">
        <v>930</v>
      </c>
      <c r="AG4" s="2" t="s">
        <v>915</v>
      </c>
      <c r="AH4" s="2" t="s">
        <v>931</v>
      </c>
      <c r="AI4" s="2" t="s">
        <v>932</v>
      </c>
      <c r="AJ4" s="2" t="s">
        <v>933</v>
      </c>
      <c r="AK4" s="2" t="s">
        <v>934</v>
      </c>
      <c r="AL4" s="2" t="s">
        <v>936</v>
      </c>
      <c r="AM4" s="2" t="s">
        <v>900</v>
      </c>
      <c r="AN4" s="2" t="s">
        <v>938</v>
      </c>
      <c r="AO4" s="2" t="s">
        <v>916</v>
      </c>
      <c r="AP4" s="2" t="s">
        <v>939</v>
      </c>
      <c r="AQ4" s="2" t="s">
        <v>940</v>
      </c>
      <c r="AR4" s="2" t="s">
        <v>905</v>
      </c>
      <c r="AS4" s="2" t="s">
        <v>941</v>
      </c>
      <c r="AT4" s="2" t="s">
        <v>942</v>
      </c>
      <c r="AU4" s="12"/>
      <c r="AV4" s="1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</row>
    <row r="5" spans="1:92" ht="15.75" thickBot="1" x14ac:dyDescent="0.3">
      <c r="A5" s="1" t="s">
        <v>24</v>
      </c>
      <c r="B5" s="1" t="s">
        <v>8</v>
      </c>
      <c r="C5" s="1" t="s">
        <v>14</v>
      </c>
      <c r="D5" s="2" t="s">
        <v>18</v>
      </c>
      <c r="E5" s="1" t="s">
        <v>25</v>
      </c>
      <c r="F5" s="1" t="s">
        <v>10</v>
      </c>
      <c r="G5" s="1" t="s">
        <v>26</v>
      </c>
      <c r="H5" s="2" t="s">
        <v>943</v>
      </c>
      <c r="I5" s="2" t="s">
        <v>944</v>
      </c>
      <c r="J5" s="2">
        <v>1005</v>
      </c>
      <c r="K5" s="1"/>
      <c r="L5" s="2">
        <v>1008</v>
      </c>
      <c r="M5" s="1"/>
      <c r="N5" s="2" t="s">
        <v>945</v>
      </c>
      <c r="O5" s="1"/>
      <c r="P5" s="1"/>
      <c r="Q5" s="2"/>
      <c r="R5" s="2"/>
      <c r="S5" s="2"/>
      <c r="T5" s="2" t="s">
        <v>946</v>
      </c>
      <c r="U5" s="2" t="s">
        <v>947</v>
      </c>
      <c r="V5" s="2" t="s">
        <v>948</v>
      </c>
      <c r="W5" s="2" t="s">
        <v>949</v>
      </c>
      <c r="X5" s="2" t="s">
        <v>950</v>
      </c>
      <c r="Y5" s="2" t="s">
        <v>951</v>
      </c>
      <c r="Z5" s="2" t="s">
        <v>952</v>
      </c>
      <c r="AA5" s="2" t="s">
        <v>953</v>
      </c>
      <c r="AB5" s="2" t="s">
        <v>839</v>
      </c>
      <c r="AC5" s="2" t="s">
        <v>954</v>
      </c>
      <c r="AD5" s="2" t="s">
        <v>955</v>
      </c>
      <c r="AE5" s="2" t="s">
        <v>956</v>
      </c>
      <c r="AF5" s="2" t="s">
        <v>957</v>
      </c>
      <c r="AG5" s="2" t="s">
        <v>958</v>
      </c>
      <c r="AH5" s="2" t="s">
        <v>959</v>
      </c>
      <c r="AI5" s="2" t="s">
        <v>960</v>
      </c>
      <c r="AJ5" s="2" t="s">
        <v>961</v>
      </c>
      <c r="AK5" s="2" t="s">
        <v>962</v>
      </c>
      <c r="AL5" s="2" t="s">
        <v>964</v>
      </c>
      <c r="AM5" s="2" t="s">
        <v>965</v>
      </c>
      <c r="AN5" s="2" t="s">
        <v>966</v>
      </c>
      <c r="AO5" s="2" t="s">
        <v>967</v>
      </c>
      <c r="AP5" s="2" t="s">
        <v>968</v>
      </c>
      <c r="AQ5" s="2" t="s">
        <v>969</v>
      </c>
      <c r="AR5" s="2" t="s">
        <v>970</v>
      </c>
      <c r="AS5" s="2" t="s">
        <v>971</v>
      </c>
      <c r="AT5" s="2" t="s">
        <v>972</v>
      </c>
      <c r="AU5" s="12"/>
      <c r="AV5" s="1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</row>
    <row r="6" spans="1:92" ht="27" thickBot="1" x14ac:dyDescent="0.3">
      <c r="A6" s="1" t="s">
        <v>27</v>
      </c>
      <c r="B6" s="1" t="s">
        <v>8</v>
      </c>
      <c r="C6" s="1" t="s">
        <v>14</v>
      </c>
      <c r="D6" s="2" t="s">
        <v>28</v>
      </c>
      <c r="E6" s="1" t="s">
        <v>10</v>
      </c>
      <c r="F6" s="1" t="s">
        <v>10</v>
      </c>
      <c r="G6" s="1" t="s">
        <v>23</v>
      </c>
      <c r="H6" s="2" t="s">
        <v>974</v>
      </c>
      <c r="I6" s="2" t="s">
        <v>975</v>
      </c>
      <c r="J6" s="2">
        <v>1023</v>
      </c>
      <c r="K6" s="1"/>
      <c r="L6" s="2">
        <v>1076</v>
      </c>
      <c r="M6" s="1"/>
      <c r="N6" s="2" t="s">
        <v>976</v>
      </c>
      <c r="O6" s="1"/>
      <c r="P6" s="1"/>
      <c r="Q6" s="2"/>
      <c r="R6" s="2"/>
      <c r="S6" s="2"/>
      <c r="T6" s="2" t="s">
        <v>872</v>
      </c>
      <c r="U6" s="2" t="s">
        <v>977</v>
      </c>
      <c r="V6" s="2" t="s">
        <v>977</v>
      </c>
      <c r="W6" s="2" t="s">
        <v>978</v>
      </c>
      <c r="X6" s="2" t="s">
        <v>979</v>
      </c>
      <c r="Y6" s="2" t="s">
        <v>980</v>
      </c>
      <c r="Z6" s="2" t="s">
        <v>981</v>
      </c>
      <c r="AA6" s="2" t="s">
        <v>982</v>
      </c>
      <c r="AB6" s="2" t="s">
        <v>983</v>
      </c>
      <c r="AC6" s="2" t="s">
        <v>984</v>
      </c>
      <c r="AD6" s="2" t="s">
        <v>985</v>
      </c>
      <c r="AE6" s="2" t="s">
        <v>904</v>
      </c>
      <c r="AF6" s="2" t="s">
        <v>841</v>
      </c>
      <c r="AG6" s="2" t="s">
        <v>986</v>
      </c>
      <c r="AH6" s="2" t="s">
        <v>987</v>
      </c>
      <c r="AI6" s="2" t="s">
        <v>988</v>
      </c>
      <c r="AJ6" s="2" t="s">
        <v>989</v>
      </c>
      <c r="AK6" s="2" t="s">
        <v>903</v>
      </c>
      <c r="AL6" s="2" t="s">
        <v>990</v>
      </c>
      <c r="AM6" s="2" t="s">
        <v>991</v>
      </c>
      <c r="AN6" s="2" t="s">
        <v>843</v>
      </c>
      <c r="AO6" s="2" t="s">
        <v>992</v>
      </c>
      <c r="AP6" s="2" t="s">
        <v>993</v>
      </c>
      <c r="AQ6" s="2" t="s">
        <v>994</v>
      </c>
      <c r="AR6" s="2" t="s">
        <v>995</v>
      </c>
      <c r="AS6" s="2" t="s">
        <v>996</v>
      </c>
      <c r="AT6" s="2" t="s">
        <v>997</v>
      </c>
      <c r="AU6" s="12"/>
      <c r="AV6" s="1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13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</row>
    <row r="7" spans="1:92" ht="15.75" thickBot="1" x14ac:dyDescent="0.3">
      <c r="A7" s="1" t="s">
        <v>29</v>
      </c>
      <c r="B7" s="1" t="s">
        <v>8</v>
      </c>
      <c r="C7" s="1" t="s">
        <v>21</v>
      </c>
      <c r="D7" s="2" t="s">
        <v>30</v>
      </c>
      <c r="E7" s="1" t="s">
        <v>10</v>
      </c>
      <c r="F7" s="1" t="s">
        <v>10</v>
      </c>
      <c r="G7" s="1" t="s">
        <v>31</v>
      </c>
      <c r="H7" s="2" t="s">
        <v>999</v>
      </c>
      <c r="I7" s="2" t="s">
        <v>1000</v>
      </c>
      <c r="J7" s="2">
        <v>1750</v>
      </c>
      <c r="K7" s="1"/>
      <c r="L7" s="2">
        <v>1807</v>
      </c>
      <c r="M7" s="1"/>
      <c r="N7" s="2" t="s">
        <v>1001</v>
      </c>
      <c r="O7" s="1"/>
      <c r="P7" s="1"/>
      <c r="Q7" s="2"/>
      <c r="R7" s="2"/>
      <c r="S7" s="2"/>
      <c r="T7" s="2" t="s">
        <v>1002</v>
      </c>
      <c r="U7" s="2" t="s">
        <v>1003</v>
      </c>
      <c r="V7" s="2" t="s">
        <v>1004</v>
      </c>
      <c r="W7" s="2" t="s">
        <v>1005</v>
      </c>
      <c r="X7" s="2" t="s">
        <v>1006</v>
      </c>
      <c r="Y7" s="2" t="s">
        <v>1007</v>
      </c>
      <c r="Z7" s="2" t="s">
        <v>1008</v>
      </c>
      <c r="AA7" s="2" t="s">
        <v>1009</v>
      </c>
      <c r="AB7" s="2" t="s">
        <v>1010</v>
      </c>
      <c r="AC7" s="2" t="s">
        <v>1012</v>
      </c>
      <c r="AD7" s="2" t="s">
        <v>1013</v>
      </c>
      <c r="AE7" s="2" t="s">
        <v>1014</v>
      </c>
      <c r="AF7" s="2" t="s">
        <v>1011</v>
      </c>
      <c r="AG7" s="2" t="s">
        <v>1015</v>
      </c>
      <c r="AH7" s="2" t="s">
        <v>901</v>
      </c>
      <c r="AI7" s="2" t="s">
        <v>1016</v>
      </c>
      <c r="AJ7" s="2" t="s">
        <v>1017</v>
      </c>
      <c r="AK7" s="2" t="s">
        <v>902</v>
      </c>
      <c r="AL7" s="2" t="s">
        <v>1020</v>
      </c>
      <c r="AM7" s="2" t="s">
        <v>1021</v>
      </c>
      <c r="AN7" s="2" t="s">
        <v>910</v>
      </c>
      <c r="AO7" s="2" t="s">
        <v>1019</v>
      </c>
      <c r="AP7" s="2" t="s">
        <v>1022</v>
      </c>
      <c r="AQ7" s="2" t="s">
        <v>1023</v>
      </c>
      <c r="AR7" s="2" t="s">
        <v>1024</v>
      </c>
      <c r="AS7" s="2" t="s">
        <v>1025</v>
      </c>
      <c r="AT7" s="2" t="s">
        <v>876</v>
      </c>
      <c r="AU7" s="12"/>
      <c r="AV7" s="1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</row>
    <row r="8" spans="1:92" ht="15.75" thickBot="1" x14ac:dyDescent="0.3">
      <c r="A8" s="1" t="s">
        <v>32</v>
      </c>
      <c r="B8" s="1" t="s">
        <v>8</v>
      </c>
      <c r="C8" s="1" t="s">
        <v>14</v>
      </c>
      <c r="D8" s="2" t="s">
        <v>15</v>
      </c>
      <c r="E8" s="1" t="s">
        <v>10</v>
      </c>
      <c r="F8" s="1" t="s">
        <v>10</v>
      </c>
      <c r="G8" s="1" t="s">
        <v>31</v>
      </c>
      <c r="H8" s="2" t="s">
        <v>1026</v>
      </c>
      <c r="I8" s="2" t="s">
        <v>1027</v>
      </c>
      <c r="J8" s="2">
        <v>1454</v>
      </c>
      <c r="K8" s="1"/>
      <c r="L8" s="2">
        <v>1497</v>
      </c>
      <c r="M8" s="1"/>
      <c r="N8" s="2" t="s">
        <v>1028</v>
      </c>
      <c r="O8" s="1"/>
      <c r="P8" s="1"/>
      <c r="Q8" s="2"/>
      <c r="R8" s="2"/>
      <c r="S8" s="2"/>
      <c r="T8" s="2" t="s">
        <v>1029</v>
      </c>
      <c r="U8" s="2" t="s">
        <v>1030</v>
      </c>
      <c r="V8" s="2" t="s">
        <v>1031</v>
      </c>
      <c r="W8" s="2" t="s">
        <v>1032</v>
      </c>
      <c r="X8" s="2" t="s">
        <v>1033</v>
      </c>
      <c r="Y8" s="2" t="s">
        <v>1034</v>
      </c>
      <c r="Z8" s="2" t="s">
        <v>1035</v>
      </c>
      <c r="AA8" s="2" t="s">
        <v>1036</v>
      </c>
      <c r="AB8" s="2" t="s">
        <v>1037</v>
      </c>
      <c r="AC8" s="2" t="s">
        <v>1038</v>
      </c>
      <c r="AD8" s="2" t="s">
        <v>832</v>
      </c>
      <c r="AE8" s="2" t="s">
        <v>1039</v>
      </c>
      <c r="AF8" s="2" t="s">
        <v>1040</v>
      </c>
      <c r="AG8" s="2" t="s">
        <v>1041</v>
      </c>
      <c r="AH8" s="2" t="s">
        <v>1042</v>
      </c>
      <c r="AI8" s="2" t="s">
        <v>1043</v>
      </c>
      <c r="AJ8" s="2" t="s">
        <v>1018</v>
      </c>
      <c r="AK8" s="2" t="s">
        <v>1044</v>
      </c>
      <c r="AL8" s="2" t="s">
        <v>1046</v>
      </c>
      <c r="AM8" s="2" t="s">
        <v>1046</v>
      </c>
      <c r="AN8" s="2" t="s">
        <v>1047</v>
      </c>
      <c r="AO8" s="2" t="s">
        <v>911</v>
      </c>
      <c r="AP8" s="2" t="s">
        <v>1048</v>
      </c>
      <c r="AQ8" s="2" t="s">
        <v>1049</v>
      </c>
      <c r="AR8" s="2" t="s">
        <v>1046</v>
      </c>
      <c r="AS8" s="2" t="s">
        <v>1050</v>
      </c>
      <c r="AT8" s="2" t="s">
        <v>1050</v>
      </c>
      <c r="AU8" s="12"/>
      <c r="AV8" s="1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13"/>
      <c r="CB8" s="13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</row>
    <row r="9" spans="1:92" ht="15.75" thickBot="1" x14ac:dyDescent="0.3">
      <c r="A9" s="1" t="s">
        <v>33</v>
      </c>
      <c r="B9" s="1" t="s">
        <v>8</v>
      </c>
      <c r="C9" s="1" t="s">
        <v>21</v>
      </c>
      <c r="D9" s="2" t="s">
        <v>34</v>
      </c>
      <c r="E9" s="1" t="s">
        <v>10</v>
      </c>
      <c r="F9" s="1" t="s">
        <v>10</v>
      </c>
      <c r="G9" s="1" t="s">
        <v>11</v>
      </c>
      <c r="H9" s="2" t="s">
        <v>1051</v>
      </c>
      <c r="I9" s="2" t="s">
        <v>1052</v>
      </c>
      <c r="J9" s="2">
        <v>1275</v>
      </c>
      <c r="K9" s="1"/>
      <c r="L9" s="2">
        <v>1311</v>
      </c>
      <c r="M9" s="1"/>
      <c r="N9" s="2" t="s">
        <v>1053</v>
      </c>
      <c r="O9" s="1"/>
      <c r="P9" s="1"/>
      <c r="Q9" s="2"/>
      <c r="R9" s="2"/>
      <c r="S9" s="2"/>
      <c r="T9" s="2" t="s">
        <v>840</v>
      </c>
      <c r="U9" s="2" t="s">
        <v>1054</v>
      </c>
      <c r="V9" s="2" t="s">
        <v>1055</v>
      </c>
      <c r="W9" s="2" t="s">
        <v>1056</v>
      </c>
      <c r="X9" s="2" t="s">
        <v>1057</v>
      </c>
      <c r="Y9" s="2" t="s">
        <v>1058</v>
      </c>
      <c r="Z9" s="2" t="s">
        <v>1059</v>
      </c>
      <c r="AA9" s="2" t="s">
        <v>1060</v>
      </c>
      <c r="AB9" s="2" t="s">
        <v>1061</v>
      </c>
      <c r="AC9" s="2" t="s">
        <v>1062</v>
      </c>
      <c r="AD9" s="2" t="s">
        <v>1063</v>
      </c>
      <c r="AE9" s="2" t="s">
        <v>1064</v>
      </c>
      <c r="AF9" s="2" t="s">
        <v>1065</v>
      </c>
      <c r="AG9" s="2" t="s">
        <v>1066</v>
      </c>
      <c r="AH9" s="2" t="s">
        <v>1067</v>
      </c>
      <c r="AI9" s="2" t="s">
        <v>1068</v>
      </c>
      <c r="AJ9" s="2" t="s">
        <v>1069</v>
      </c>
      <c r="AK9" s="2" t="s">
        <v>1070</v>
      </c>
      <c r="AL9" s="2" t="s">
        <v>1072</v>
      </c>
      <c r="AM9" s="2" t="s">
        <v>1071</v>
      </c>
      <c r="AN9" s="2" t="s">
        <v>1073</v>
      </c>
      <c r="AO9" s="2" t="s">
        <v>1074</v>
      </c>
      <c r="AP9" s="2" t="s">
        <v>1075</v>
      </c>
      <c r="AQ9" s="2" t="s">
        <v>1076</v>
      </c>
      <c r="AR9" s="2" t="s">
        <v>937</v>
      </c>
      <c r="AS9" s="2" t="s">
        <v>1077</v>
      </c>
      <c r="AT9" s="2" t="s">
        <v>907</v>
      </c>
      <c r="AU9" s="12"/>
      <c r="AV9" s="1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</row>
    <row r="10" spans="1:92" ht="15.75" thickBot="1" x14ac:dyDescent="0.3">
      <c r="A10" s="1" t="s">
        <v>35</v>
      </c>
      <c r="B10" s="1" t="s">
        <v>8</v>
      </c>
      <c r="C10" s="1" t="s">
        <v>21</v>
      </c>
      <c r="D10" s="2" t="s">
        <v>36</v>
      </c>
      <c r="E10" s="1" t="s">
        <v>10</v>
      </c>
      <c r="F10" s="1" t="s">
        <v>10</v>
      </c>
      <c r="G10" s="1" t="s">
        <v>11</v>
      </c>
      <c r="H10" s="2" t="s">
        <v>1078</v>
      </c>
      <c r="I10" s="2" t="s">
        <v>1079</v>
      </c>
      <c r="J10" s="2">
        <v>887</v>
      </c>
      <c r="K10" s="1"/>
      <c r="L10" s="2">
        <v>919</v>
      </c>
      <c r="M10" s="1"/>
      <c r="N10" s="2" t="s">
        <v>1080</v>
      </c>
      <c r="O10" s="1"/>
      <c r="P10" s="1"/>
      <c r="Q10" s="2"/>
      <c r="R10" s="2"/>
      <c r="S10" s="2"/>
      <c r="T10" s="2" t="s">
        <v>1081</v>
      </c>
      <c r="U10" s="2" t="s">
        <v>1082</v>
      </c>
      <c r="V10" s="2" t="s">
        <v>1083</v>
      </c>
      <c r="W10" s="2" t="s">
        <v>1084</v>
      </c>
      <c r="X10" s="2" t="s">
        <v>1085</v>
      </c>
      <c r="Y10" s="2" t="s">
        <v>1086</v>
      </c>
      <c r="Z10" s="2" t="s">
        <v>1087</v>
      </c>
      <c r="AA10" s="2" t="s">
        <v>1088</v>
      </c>
      <c r="AB10" s="2" t="s">
        <v>1089</v>
      </c>
      <c r="AC10" s="2" t="s">
        <v>1090</v>
      </c>
      <c r="AD10" s="2" t="s">
        <v>1091</v>
      </c>
      <c r="AE10" s="2" t="s">
        <v>913</v>
      </c>
      <c r="AF10" s="2" t="s">
        <v>935</v>
      </c>
      <c r="AG10" s="2" t="s">
        <v>1092</v>
      </c>
      <c r="AH10" s="2" t="s">
        <v>1093</v>
      </c>
      <c r="AI10" s="2" t="s">
        <v>1094</v>
      </c>
      <c r="AJ10" s="2" t="s">
        <v>1095</v>
      </c>
      <c r="AK10" s="2" t="s">
        <v>1096</v>
      </c>
      <c r="AL10" s="2" t="s">
        <v>1097</v>
      </c>
      <c r="AM10" s="2" t="s">
        <v>1098</v>
      </c>
      <c r="AN10" s="2" t="s">
        <v>1099</v>
      </c>
      <c r="AO10" s="2" t="s">
        <v>908</v>
      </c>
      <c r="AP10" s="2" t="s">
        <v>1100</v>
      </c>
      <c r="AQ10" s="2" t="s">
        <v>1101</v>
      </c>
      <c r="AR10" s="2" t="s">
        <v>1102</v>
      </c>
      <c r="AS10" s="2" t="s">
        <v>1099</v>
      </c>
      <c r="AT10" s="2" t="s">
        <v>973</v>
      </c>
      <c r="AU10" s="12"/>
      <c r="AV10" s="1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13"/>
      <c r="BZ10" s="13"/>
      <c r="CA10" s="13"/>
      <c r="CB10" s="13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</row>
    <row r="11" spans="1:92" ht="15.75" thickBot="1" x14ac:dyDescent="0.3">
      <c r="A11" s="1" t="s">
        <v>37</v>
      </c>
      <c r="B11" s="1" t="s">
        <v>8</v>
      </c>
      <c r="C11" s="1" t="s">
        <v>14</v>
      </c>
      <c r="D11" s="2" t="s">
        <v>38</v>
      </c>
      <c r="E11" s="1" t="s">
        <v>10</v>
      </c>
      <c r="F11" s="1" t="s">
        <v>10</v>
      </c>
      <c r="G11" s="1" t="s">
        <v>11</v>
      </c>
      <c r="H11" s="2" t="s">
        <v>1103</v>
      </c>
      <c r="I11" s="2" t="s">
        <v>1104</v>
      </c>
      <c r="J11" s="2">
        <v>803</v>
      </c>
      <c r="K11" s="1"/>
      <c r="L11" s="2">
        <v>882</v>
      </c>
      <c r="M11" s="1"/>
      <c r="N11" s="2" t="s">
        <v>1105</v>
      </c>
      <c r="O11" s="1"/>
      <c r="P11" s="1"/>
      <c r="Q11" s="2"/>
      <c r="R11" s="2"/>
      <c r="S11" s="2"/>
      <c r="T11" s="2" t="s">
        <v>1106</v>
      </c>
      <c r="U11" s="2" t="s">
        <v>1107</v>
      </c>
      <c r="V11" s="2" t="s">
        <v>1108</v>
      </c>
      <c r="W11" s="2" t="s">
        <v>1109</v>
      </c>
      <c r="X11" s="2" t="s">
        <v>1110</v>
      </c>
      <c r="Y11" s="2" t="s">
        <v>1111</v>
      </c>
      <c r="Z11" s="2" t="s">
        <v>1112</v>
      </c>
      <c r="AA11" s="2" t="s">
        <v>1113</v>
      </c>
      <c r="AB11" s="2" t="s">
        <v>1114</v>
      </c>
      <c r="AC11" s="2" t="s">
        <v>1115</v>
      </c>
      <c r="AD11" s="2" t="s">
        <v>1116</v>
      </c>
      <c r="AE11" s="2" t="s">
        <v>1117</v>
      </c>
      <c r="AF11" s="2" t="s">
        <v>1118</v>
      </c>
      <c r="AG11" s="2" t="s">
        <v>1119</v>
      </c>
      <c r="AH11" s="2" t="s">
        <v>1120</v>
      </c>
      <c r="AI11" s="2" t="s">
        <v>1121</v>
      </c>
      <c r="AJ11" s="2" t="s">
        <v>998</v>
      </c>
      <c r="AK11" s="2" t="s">
        <v>1122</v>
      </c>
      <c r="AL11" s="2" t="s">
        <v>909</v>
      </c>
      <c r="AM11" s="2" t="s">
        <v>912</v>
      </c>
      <c r="AN11" s="2" t="s">
        <v>1045</v>
      </c>
      <c r="AO11" s="2" t="s">
        <v>1123</v>
      </c>
      <c r="AP11" s="2" t="s">
        <v>1124</v>
      </c>
      <c r="AQ11" s="2" t="s">
        <v>1125</v>
      </c>
      <c r="AR11" s="2" t="s">
        <v>1126</v>
      </c>
      <c r="AS11" s="2" t="s">
        <v>1127</v>
      </c>
      <c r="AT11" s="2" t="s">
        <v>1124</v>
      </c>
      <c r="AU11" s="12"/>
      <c r="AV11" s="1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</row>
    <row r="12" spans="1:92" ht="27" thickBot="1" x14ac:dyDescent="0.3">
      <c r="A12" s="1" t="s">
        <v>39</v>
      </c>
      <c r="B12" s="1" t="s">
        <v>8</v>
      </c>
      <c r="C12" s="1" t="s">
        <v>21</v>
      </c>
      <c r="D12" s="2" t="s">
        <v>40</v>
      </c>
      <c r="E12" s="1" t="s">
        <v>10</v>
      </c>
      <c r="F12" s="1" t="s">
        <v>10</v>
      </c>
      <c r="G12" s="1" t="s">
        <v>23</v>
      </c>
      <c r="H12" s="2" t="s">
        <v>1128</v>
      </c>
      <c r="I12" s="2" t="s">
        <v>1129</v>
      </c>
      <c r="J12" s="2">
        <v>1515</v>
      </c>
      <c r="K12" s="1"/>
      <c r="L12" s="2">
        <v>1557</v>
      </c>
      <c r="M12" s="1"/>
      <c r="N12" s="2" t="s">
        <v>1130</v>
      </c>
      <c r="O12" s="1"/>
      <c r="P12" s="1"/>
      <c r="Q12" s="2"/>
      <c r="R12" s="2"/>
      <c r="S12" s="2"/>
      <c r="T12" s="2" t="s">
        <v>1131</v>
      </c>
      <c r="U12" s="2" t="s">
        <v>1132</v>
      </c>
      <c r="V12" s="2" t="s">
        <v>1133</v>
      </c>
      <c r="W12" s="2" t="s">
        <v>1134</v>
      </c>
      <c r="X12" s="2" t="s">
        <v>1135</v>
      </c>
      <c r="Y12" s="2" t="s">
        <v>1136</v>
      </c>
      <c r="Z12" s="2" t="s">
        <v>1137</v>
      </c>
      <c r="AA12" s="2" t="s">
        <v>906</v>
      </c>
      <c r="AB12" s="2" t="s">
        <v>1138</v>
      </c>
      <c r="AC12" s="2" t="s">
        <v>1139</v>
      </c>
      <c r="AD12" s="2" t="s">
        <v>1140</v>
      </c>
      <c r="AE12" s="2" t="s">
        <v>1141</v>
      </c>
      <c r="AF12" s="2" t="s">
        <v>1142</v>
      </c>
      <c r="AG12" s="2" t="s">
        <v>1097</v>
      </c>
      <c r="AH12" s="2" t="s">
        <v>1143</v>
      </c>
      <c r="AI12" s="2" t="s">
        <v>1144</v>
      </c>
      <c r="AJ12" s="2" t="s">
        <v>1145</v>
      </c>
      <c r="AK12" s="2" t="s">
        <v>914</v>
      </c>
      <c r="AL12" s="2" t="s">
        <v>1146</v>
      </c>
      <c r="AM12" s="2" t="s">
        <v>1111</v>
      </c>
      <c r="AN12" s="2" t="s">
        <v>1146</v>
      </c>
      <c r="AO12" s="2" t="s">
        <v>1147</v>
      </c>
      <c r="AP12" s="2" t="s">
        <v>1126</v>
      </c>
      <c r="AQ12" s="2" t="s">
        <v>1148</v>
      </c>
      <c r="AR12" s="2" t="s">
        <v>1149</v>
      </c>
      <c r="AS12" s="2" t="s">
        <v>1150</v>
      </c>
      <c r="AT12" s="2" t="s">
        <v>912</v>
      </c>
      <c r="AU12" s="12"/>
      <c r="AV12" s="1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</row>
    <row r="13" spans="1:92" ht="15.75" thickBot="1" x14ac:dyDescent="0.3">
      <c r="A13" s="1" t="s">
        <v>41</v>
      </c>
      <c r="B13" s="1" t="s">
        <v>8</v>
      </c>
      <c r="C13" s="1" t="s">
        <v>14</v>
      </c>
      <c r="D13" s="2" t="s">
        <v>42</v>
      </c>
      <c r="E13" s="1" t="s">
        <v>10</v>
      </c>
      <c r="F13" s="1" t="s">
        <v>10</v>
      </c>
      <c r="G13" s="1" t="s">
        <v>26</v>
      </c>
      <c r="H13" s="15">
        <v>13881</v>
      </c>
      <c r="I13" s="2" t="s">
        <v>1151</v>
      </c>
      <c r="J13" s="2">
        <v>38</v>
      </c>
      <c r="K13" s="1"/>
      <c r="L13" s="2">
        <v>38</v>
      </c>
      <c r="M13" s="1"/>
      <c r="N13" s="15">
        <v>17777</v>
      </c>
      <c r="O13" s="1"/>
      <c r="P13" s="1"/>
      <c r="Q13" s="2"/>
      <c r="R13" s="2"/>
      <c r="S13" s="2"/>
      <c r="T13" s="2" t="s">
        <v>1154</v>
      </c>
      <c r="U13" s="2" t="s">
        <v>1155</v>
      </c>
      <c r="V13" s="2" t="s">
        <v>1156</v>
      </c>
      <c r="W13" s="2" t="s">
        <v>1155</v>
      </c>
      <c r="X13" s="2" t="s">
        <v>1157</v>
      </c>
      <c r="Y13" s="2" t="s">
        <v>1158</v>
      </c>
      <c r="Z13" s="2" t="s">
        <v>1159</v>
      </c>
      <c r="AA13" s="2" t="s">
        <v>1160</v>
      </c>
      <c r="AB13" s="2" t="s">
        <v>1161</v>
      </c>
      <c r="AC13" s="2" t="s">
        <v>1161</v>
      </c>
      <c r="AD13" s="2" t="s">
        <v>1165</v>
      </c>
      <c r="AE13" s="2" t="s">
        <v>1166</v>
      </c>
      <c r="AF13" s="2" t="s">
        <v>1161</v>
      </c>
      <c r="AG13" s="2" t="s">
        <v>1161</v>
      </c>
      <c r="AH13" s="2" t="s">
        <v>1159</v>
      </c>
      <c r="AI13" s="2" t="s">
        <v>1165</v>
      </c>
      <c r="AJ13" s="2" t="s">
        <v>1153</v>
      </c>
      <c r="AK13" s="2" t="s">
        <v>1161</v>
      </c>
      <c r="AL13" s="2" t="s">
        <v>963</v>
      </c>
      <c r="AM13" s="2" t="s">
        <v>1170</v>
      </c>
      <c r="AN13" s="2" t="s">
        <v>963</v>
      </c>
      <c r="AO13" s="2" t="s">
        <v>1169</v>
      </c>
      <c r="AP13" s="2" t="s">
        <v>1168</v>
      </c>
      <c r="AQ13" s="2" t="s">
        <v>1171</v>
      </c>
      <c r="AR13" s="2" t="s">
        <v>1168</v>
      </c>
      <c r="AS13" s="2" t="s">
        <v>1168</v>
      </c>
      <c r="AT13" s="2" t="s">
        <v>1169</v>
      </c>
      <c r="AU13" s="12"/>
      <c r="AV13" s="1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</row>
    <row r="14" spans="1:92" ht="15.75" thickBot="1" x14ac:dyDescent="0.3">
      <c r="A14" s="1" t="s">
        <v>43</v>
      </c>
      <c r="B14" s="1" t="s">
        <v>8</v>
      </c>
      <c r="C14" s="1" t="s">
        <v>21</v>
      </c>
      <c r="D14" s="2" t="s">
        <v>44</v>
      </c>
      <c r="E14" s="1" t="s">
        <v>10</v>
      </c>
      <c r="F14" s="1" t="s">
        <v>10</v>
      </c>
      <c r="G14" s="1" t="s">
        <v>26</v>
      </c>
      <c r="H14" s="15">
        <v>16558</v>
      </c>
      <c r="I14" s="2" t="s">
        <v>1172</v>
      </c>
      <c r="J14" s="2">
        <v>45</v>
      </c>
      <c r="K14" s="1"/>
      <c r="L14" s="2">
        <v>45</v>
      </c>
      <c r="M14" s="1"/>
      <c r="N14" s="15">
        <v>20241</v>
      </c>
      <c r="O14" s="1"/>
      <c r="P14" s="1"/>
      <c r="Q14" s="2"/>
      <c r="R14" s="2"/>
      <c r="S14" s="2"/>
      <c r="T14" s="2" t="s">
        <v>1167</v>
      </c>
      <c r="U14" s="2" t="s">
        <v>1160</v>
      </c>
      <c r="V14" s="2" t="s">
        <v>1154</v>
      </c>
      <c r="W14" s="2" t="s">
        <v>1168</v>
      </c>
      <c r="X14" s="2" t="s">
        <v>1173</v>
      </c>
      <c r="Y14" s="2" t="s">
        <v>1163</v>
      </c>
      <c r="Z14" s="2" t="s">
        <v>1162</v>
      </c>
      <c r="AA14" s="2" t="s">
        <v>1166</v>
      </c>
      <c r="AB14" s="2" t="s">
        <v>1169</v>
      </c>
      <c r="AC14" s="2" t="s">
        <v>1173</v>
      </c>
      <c r="AD14" s="2" t="s">
        <v>1161</v>
      </c>
      <c r="AE14" s="2" t="s">
        <v>1161</v>
      </c>
      <c r="AF14" s="2" t="s">
        <v>1164</v>
      </c>
      <c r="AG14" s="2" t="s">
        <v>1173</v>
      </c>
      <c r="AH14" s="2" t="s">
        <v>1173</v>
      </c>
      <c r="AI14" s="2" t="s">
        <v>1166</v>
      </c>
      <c r="AJ14" s="2" t="s">
        <v>1167</v>
      </c>
      <c r="AK14" s="2" t="s">
        <v>1161</v>
      </c>
      <c r="AL14" s="2" t="s">
        <v>1161</v>
      </c>
      <c r="AM14" s="2" t="s">
        <v>1158</v>
      </c>
      <c r="AN14" s="2" t="s">
        <v>1152</v>
      </c>
      <c r="AO14" s="2" t="s">
        <v>1168</v>
      </c>
      <c r="AP14" s="2" t="s">
        <v>1171</v>
      </c>
      <c r="AQ14" s="2" t="s">
        <v>1163</v>
      </c>
      <c r="AR14" s="2" t="s">
        <v>1168</v>
      </c>
      <c r="AS14" s="2" t="s">
        <v>1165</v>
      </c>
      <c r="AT14" s="2" t="s">
        <v>963</v>
      </c>
      <c r="AU14" s="12"/>
      <c r="AV14" s="1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</row>
    <row r="17" spans="14:48" x14ac:dyDescent="0.25">
      <c r="T17" s="10" t="s">
        <v>550</v>
      </c>
      <c r="U17" s="10" t="s">
        <v>551</v>
      </c>
      <c r="V17" s="10" t="s">
        <v>552</v>
      </c>
      <c r="W17" s="10" t="s">
        <v>553</v>
      </c>
      <c r="X17" s="10" t="s">
        <v>81</v>
      </c>
      <c r="Y17" s="10" t="s">
        <v>62</v>
      </c>
      <c r="Z17" s="10" t="s">
        <v>70</v>
      </c>
      <c r="AA17" s="10" t="s">
        <v>74</v>
      </c>
      <c r="AB17" s="10" t="s">
        <v>76</v>
      </c>
      <c r="AC17" s="10" t="s">
        <v>554</v>
      </c>
      <c r="AD17" s="10" t="s">
        <v>555</v>
      </c>
      <c r="AE17" s="10" t="s">
        <v>556</v>
      </c>
      <c r="AF17" s="10" t="s">
        <v>557</v>
      </c>
      <c r="AG17" s="10" t="s">
        <v>84</v>
      </c>
      <c r="AH17" s="10" t="s">
        <v>60</v>
      </c>
      <c r="AI17" s="10" t="s">
        <v>66</v>
      </c>
      <c r="AJ17" s="10" t="s">
        <v>66</v>
      </c>
      <c r="AK17" s="10" t="s">
        <v>79</v>
      </c>
      <c r="AL17" s="10" t="s">
        <v>558</v>
      </c>
      <c r="AM17" s="10" t="s">
        <v>559</v>
      </c>
      <c r="AN17" s="10" t="s">
        <v>560</v>
      </c>
      <c r="AO17" s="10" t="s">
        <v>561</v>
      </c>
      <c r="AP17" s="10" t="s">
        <v>83</v>
      </c>
      <c r="AQ17" s="10" t="s">
        <v>64</v>
      </c>
      <c r="AR17" s="10" t="s">
        <v>68</v>
      </c>
      <c r="AS17" s="10" t="s">
        <v>72</v>
      </c>
      <c r="AT17" s="10" t="s">
        <v>78</v>
      </c>
    </row>
    <row r="18" spans="14:48" x14ac:dyDescent="0.25">
      <c r="N18" s="14"/>
      <c r="T18" s="11" t="s">
        <v>563</v>
      </c>
      <c r="U18" s="11" t="s">
        <v>564</v>
      </c>
      <c r="V18" s="11" t="s">
        <v>565</v>
      </c>
      <c r="W18" s="11" t="s">
        <v>566</v>
      </c>
      <c r="X18" s="11" t="s">
        <v>567</v>
      </c>
      <c r="Y18" s="11" t="s">
        <v>568</v>
      </c>
      <c r="Z18" s="11" t="s">
        <v>569</v>
      </c>
      <c r="AA18" s="11" t="s">
        <v>570</v>
      </c>
      <c r="AB18" s="11" t="s">
        <v>571</v>
      </c>
      <c r="AC18" s="11" t="s">
        <v>572</v>
      </c>
      <c r="AD18" s="11" t="s">
        <v>573</v>
      </c>
      <c r="AE18" s="11" t="s">
        <v>574</v>
      </c>
      <c r="AF18" s="11" t="s">
        <v>575</v>
      </c>
      <c r="AG18" s="11" t="s">
        <v>576</v>
      </c>
      <c r="AH18" s="11" t="s">
        <v>577</v>
      </c>
      <c r="AI18" s="11" t="s">
        <v>578</v>
      </c>
      <c r="AJ18" s="11" t="s">
        <v>579</v>
      </c>
      <c r="AK18" s="11" t="s">
        <v>580</v>
      </c>
      <c r="AL18" s="11" t="s">
        <v>581</v>
      </c>
      <c r="AM18" s="11" t="s">
        <v>582</v>
      </c>
      <c r="AN18" s="11" t="s">
        <v>581</v>
      </c>
      <c r="AO18" s="11" t="s">
        <v>583</v>
      </c>
      <c r="AP18" s="11" t="s">
        <v>584</v>
      </c>
      <c r="AQ18" s="11" t="s">
        <v>585</v>
      </c>
      <c r="AR18" s="11" t="s">
        <v>586</v>
      </c>
      <c r="AS18" s="11" t="s">
        <v>587</v>
      </c>
      <c r="AT18" s="11" t="s">
        <v>588</v>
      </c>
    </row>
    <row r="19" spans="14:48" x14ac:dyDescent="0.25">
      <c r="P19" s="14"/>
      <c r="T19" s="10" t="s">
        <v>121</v>
      </c>
      <c r="U19" s="10" t="s">
        <v>122</v>
      </c>
      <c r="V19" s="10" t="s">
        <v>123</v>
      </c>
      <c r="W19" s="10" t="s">
        <v>124</v>
      </c>
      <c r="X19" s="10" t="s">
        <v>125</v>
      </c>
      <c r="Y19" s="10" t="s">
        <v>126</v>
      </c>
      <c r="Z19" s="10" t="s">
        <v>127</v>
      </c>
      <c r="AA19" s="10" t="s">
        <v>128</v>
      </c>
      <c r="AB19" s="10" t="s">
        <v>129</v>
      </c>
      <c r="AC19" s="10" t="s">
        <v>115</v>
      </c>
      <c r="AD19" s="10" t="s">
        <v>130</v>
      </c>
      <c r="AE19" s="10" t="s">
        <v>131</v>
      </c>
      <c r="AF19" s="10" t="s">
        <v>132</v>
      </c>
      <c r="AG19" s="10" t="s">
        <v>133</v>
      </c>
      <c r="AH19" s="10" t="s">
        <v>134</v>
      </c>
      <c r="AI19" s="10" t="s">
        <v>135</v>
      </c>
      <c r="AJ19" s="10" t="s">
        <v>136</v>
      </c>
      <c r="AK19" s="10" t="s">
        <v>137</v>
      </c>
      <c r="AL19" s="10" t="s">
        <v>138</v>
      </c>
      <c r="AM19" s="10" t="s">
        <v>139</v>
      </c>
      <c r="AN19" s="10" t="s">
        <v>138</v>
      </c>
      <c r="AO19" s="10" t="s">
        <v>140</v>
      </c>
      <c r="AP19" s="10" t="s">
        <v>141</v>
      </c>
      <c r="AQ19" s="10" t="s">
        <v>142</v>
      </c>
      <c r="AR19" s="10" t="s">
        <v>143</v>
      </c>
      <c r="AS19" s="10" t="s">
        <v>144</v>
      </c>
      <c r="AT19" s="10" t="s">
        <v>145</v>
      </c>
    </row>
    <row r="20" spans="14:48" x14ac:dyDescent="0.25">
      <c r="N20" s="14"/>
      <c r="T20" s="11" t="s">
        <v>147</v>
      </c>
      <c r="U20" s="11" t="s">
        <v>148</v>
      </c>
      <c r="V20" s="11" t="s">
        <v>149</v>
      </c>
      <c r="W20" s="11" t="s">
        <v>150</v>
      </c>
      <c r="X20" s="11" t="s">
        <v>151</v>
      </c>
      <c r="Y20" s="11" t="s">
        <v>152</v>
      </c>
      <c r="Z20" s="11" t="s">
        <v>153</v>
      </c>
      <c r="AA20" s="11" t="s">
        <v>154</v>
      </c>
      <c r="AB20" s="11" t="s">
        <v>155</v>
      </c>
      <c r="AC20" s="11" t="s">
        <v>156</v>
      </c>
      <c r="AD20" s="11" t="s">
        <v>156</v>
      </c>
      <c r="AE20" s="11" t="s">
        <v>157</v>
      </c>
      <c r="AF20" s="11" t="s">
        <v>158</v>
      </c>
      <c r="AG20" s="11" t="s">
        <v>159</v>
      </c>
      <c r="AH20" s="11" t="s">
        <v>160</v>
      </c>
      <c r="AI20" s="11" t="s">
        <v>161</v>
      </c>
      <c r="AJ20" s="11" t="s">
        <v>162</v>
      </c>
      <c r="AK20" s="11" t="s">
        <v>163</v>
      </c>
      <c r="AL20" s="11" t="s">
        <v>164</v>
      </c>
      <c r="AM20" s="11" t="s">
        <v>165</v>
      </c>
      <c r="AN20" s="11" t="s">
        <v>166</v>
      </c>
      <c r="AO20" s="11" t="s">
        <v>167</v>
      </c>
      <c r="AP20" s="11" t="s">
        <v>168</v>
      </c>
      <c r="AQ20" s="11" t="s">
        <v>150</v>
      </c>
      <c r="AR20" s="11" t="s">
        <v>169</v>
      </c>
      <c r="AS20" s="11" t="s">
        <v>170</v>
      </c>
      <c r="AT20" s="11" t="s">
        <v>171</v>
      </c>
    </row>
    <row r="21" spans="14:48" x14ac:dyDescent="0.25">
      <c r="T21" s="10" t="s">
        <v>173</v>
      </c>
      <c r="U21" s="10" t="s">
        <v>174</v>
      </c>
      <c r="V21" s="10" t="s">
        <v>174</v>
      </c>
      <c r="W21" s="10" t="s">
        <v>175</v>
      </c>
      <c r="X21" s="10" t="s">
        <v>176</v>
      </c>
      <c r="Y21" s="10" t="s">
        <v>174</v>
      </c>
      <c r="Z21" s="10" t="s">
        <v>177</v>
      </c>
      <c r="AA21" s="10" t="s">
        <v>178</v>
      </c>
      <c r="AB21" s="10" t="s">
        <v>179</v>
      </c>
      <c r="AC21" s="10" t="s">
        <v>180</v>
      </c>
      <c r="AD21" s="10" t="s">
        <v>181</v>
      </c>
      <c r="AE21" s="10" t="s">
        <v>182</v>
      </c>
      <c r="AF21" s="10" t="s">
        <v>183</v>
      </c>
      <c r="AG21" s="10" t="s">
        <v>184</v>
      </c>
      <c r="AH21" s="10" t="s">
        <v>185</v>
      </c>
      <c r="AI21" s="10" t="s">
        <v>186</v>
      </c>
      <c r="AJ21" s="10" t="s">
        <v>187</v>
      </c>
      <c r="AK21" s="10" t="s">
        <v>188</v>
      </c>
      <c r="AL21" s="10" t="s">
        <v>189</v>
      </c>
      <c r="AM21" s="10" t="s">
        <v>190</v>
      </c>
      <c r="AN21" s="10" t="s">
        <v>191</v>
      </c>
      <c r="AO21" s="10" t="s">
        <v>192</v>
      </c>
      <c r="AP21" s="10" t="s">
        <v>193</v>
      </c>
      <c r="AQ21" s="10" t="s">
        <v>194</v>
      </c>
      <c r="AR21" s="10" t="s">
        <v>195</v>
      </c>
      <c r="AS21" s="10" t="s">
        <v>196</v>
      </c>
      <c r="AT21" s="10" t="s">
        <v>197</v>
      </c>
    </row>
    <row r="22" spans="14:48" x14ac:dyDescent="0.25">
      <c r="T22" s="11" t="s">
        <v>199</v>
      </c>
      <c r="U22" s="11" t="s">
        <v>200</v>
      </c>
      <c r="V22" s="11" t="s">
        <v>201</v>
      </c>
      <c r="W22" s="11" t="s">
        <v>202</v>
      </c>
      <c r="X22" s="11" t="s">
        <v>203</v>
      </c>
      <c r="Y22" s="11" t="s">
        <v>204</v>
      </c>
      <c r="Z22" s="11" t="s">
        <v>205</v>
      </c>
      <c r="AA22" s="11" t="s">
        <v>206</v>
      </c>
      <c r="AB22" s="11" t="s">
        <v>207</v>
      </c>
      <c r="AC22" s="11" t="s">
        <v>208</v>
      </c>
      <c r="AD22" s="11" t="s">
        <v>209</v>
      </c>
      <c r="AE22" s="11" t="s">
        <v>210</v>
      </c>
      <c r="AF22" s="11" t="s">
        <v>211</v>
      </c>
      <c r="AG22" s="11" t="s">
        <v>212</v>
      </c>
      <c r="AH22" s="11" t="s">
        <v>213</v>
      </c>
      <c r="AI22" s="11" t="s">
        <v>214</v>
      </c>
      <c r="AJ22" s="11" t="s">
        <v>215</v>
      </c>
      <c r="AK22" s="11" t="s">
        <v>216</v>
      </c>
      <c r="AL22" s="11" t="s">
        <v>217</v>
      </c>
      <c r="AM22" s="11" t="s">
        <v>218</v>
      </c>
      <c r="AN22" s="11" t="s">
        <v>219</v>
      </c>
      <c r="AO22" s="11" t="s">
        <v>220</v>
      </c>
      <c r="AP22" s="11" t="s">
        <v>221</v>
      </c>
      <c r="AQ22" s="11" t="s">
        <v>222</v>
      </c>
      <c r="AR22" s="11" t="s">
        <v>223</v>
      </c>
      <c r="AS22" s="11" t="s">
        <v>224</v>
      </c>
      <c r="AT22" s="11" t="s">
        <v>225</v>
      </c>
    </row>
    <row r="23" spans="14:48" x14ac:dyDescent="0.25">
      <c r="T23" s="10" t="s">
        <v>227</v>
      </c>
      <c r="U23" s="10" t="s">
        <v>228</v>
      </c>
      <c r="V23" s="10" t="s">
        <v>229</v>
      </c>
      <c r="W23" s="10" t="s">
        <v>230</v>
      </c>
      <c r="X23" s="10" t="s">
        <v>231</v>
      </c>
      <c r="Y23" s="10" t="s">
        <v>232</v>
      </c>
      <c r="Z23" s="10" t="s">
        <v>233</v>
      </c>
      <c r="AA23" s="10" t="s">
        <v>234</v>
      </c>
      <c r="AB23" s="10" t="s">
        <v>235</v>
      </c>
      <c r="AC23" s="10" t="s">
        <v>236</v>
      </c>
      <c r="AD23" s="10" t="s">
        <v>237</v>
      </c>
      <c r="AE23" s="10" t="s">
        <v>238</v>
      </c>
      <c r="AF23" s="10" t="s">
        <v>239</v>
      </c>
      <c r="AG23" s="10" t="s">
        <v>240</v>
      </c>
      <c r="AH23" s="10" t="s">
        <v>241</v>
      </c>
      <c r="AI23" s="10" t="s">
        <v>242</v>
      </c>
      <c r="AJ23" s="10" t="s">
        <v>243</v>
      </c>
      <c r="AK23" s="10" t="s">
        <v>244</v>
      </c>
      <c r="AL23" s="10" t="s">
        <v>245</v>
      </c>
      <c r="AM23" s="10" t="s">
        <v>246</v>
      </c>
      <c r="AN23" s="10" t="s">
        <v>247</v>
      </c>
      <c r="AO23" s="10" t="s">
        <v>248</v>
      </c>
      <c r="AP23" s="10" t="s">
        <v>249</v>
      </c>
      <c r="AQ23" s="10" t="s">
        <v>250</v>
      </c>
      <c r="AR23" s="10" t="s">
        <v>251</v>
      </c>
      <c r="AS23" s="10" t="s">
        <v>252</v>
      </c>
      <c r="AT23" s="10" t="s">
        <v>253</v>
      </c>
    </row>
    <row r="24" spans="14:48" x14ac:dyDescent="0.25">
      <c r="O24" s="14"/>
      <c r="T24" s="11" t="s">
        <v>255</v>
      </c>
      <c r="U24" s="11" t="s">
        <v>256</v>
      </c>
      <c r="V24" s="11" t="s">
        <v>257</v>
      </c>
      <c r="W24" s="11" t="s">
        <v>258</v>
      </c>
      <c r="X24" s="11" t="s">
        <v>259</v>
      </c>
      <c r="Y24" s="11" t="s">
        <v>260</v>
      </c>
      <c r="Z24" s="11" t="s">
        <v>261</v>
      </c>
      <c r="AA24" s="11" t="s">
        <v>262</v>
      </c>
      <c r="AB24" s="11" t="s">
        <v>263</v>
      </c>
      <c r="AC24" s="11" t="s">
        <v>264</v>
      </c>
      <c r="AD24" s="11" t="s">
        <v>265</v>
      </c>
      <c r="AE24" s="11" t="s">
        <v>266</v>
      </c>
      <c r="AF24" s="11" t="s">
        <v>267</v>
      </c>
      <c r="AG24" s="11" t="s">
        <v>268</v>
      </c>
      <c r="AH24" s="11" t="s">
        <v>269</v>
      </c>
      <c r="AI24" s="11" t="s">
        <v>270</v>
      </c>
      <c r="AJ24" s="11" t="s">
        <v>271</v>
      </c>
      <c r="AK24" s="11" t="s">
        <v>272</v>
      </c>
      <c r="AL24" s="11" t="s">
        <v>273</v>
      </c>
      <c r="AM24" s="11" t="s">
        <v>273</v>
      </c>
      <c r="AN24" s="11" t="s">
        <v>274</v>
      </c>
      <c r="AO24" s="11" t="s">
        <v>275</v>
      </c>
      <c r="AP24" s="11" t="s">
        <v>276</v>
      </c>
      <c r="AQ24" s="11" t="s">
        <v>273</v>
      </c>
      <c r="AR24" s="11" t="s">
        <v>277</v>
      </c>
      <c r="AS24" s="11" t="s">
        <v>278</v>
      </c>
      <c r="AT24" s="11" t="s">
        <v>279</v>
      </c>
    </row>
    <row r="25" spans="14:48" x14ac:dyDescent="0.25">
      <c r="T25" s="10" t="s">
        <v>281</v>
      </c>
      <c r="U25" s="10" t="s">
        <v>282</v>
      </c>
      <c r="V25" s="10" t="s">
        <v>283</v>
      </c>
      <c r="W25" s="10" t="s">
        <v>284</v>
      </c>
      <c r="X25" s="10" t="s">
        <v>285</v>
      </c>
      <c r="Y25" s="10" t="s">
        <v>286</v>
      </c>
      <c r="Z25" s="10" t="s">
        <v>287</v>
      </c>
      <c r="AA25" s="10" t="s">
        <v>283</v>
      </c>
      <c r="AB25" s="10" t="s">
        <v>288</v>
      </c>
      <c r="AC25" s="10" t="s">
        <v>289</v>
      </c>
      <c r="AD25" s="10" t="s">
        <v>290</v>
      </c>
      <c r="AE25" s="10" t="s">
        <v>291</v>
      </c>
      <c r="AF25" s="10" t="s">
        <v>292</v>
      </c>
      <c r="AG25" s="10" t="s">
        <v>293</v>
      </c>
      <c r="AH25" s="10" t="s">
        <v>294</v>
      </c>
      <c r="AI25" s="10" t="s">
        <v>295</v>
      </c>
      <c r="AJ25" s="10" t="s">
        <v>296</v>
      </c>
      <c r="AK25" s="10" t="s">
        <v>297</v>
      </c>
      <c r="AL25" s="10" t="s">
        <v>298</v>
      </c>
      <c r="AM25" s="10" t="s">
        <v>299</v>
      </c>
      <c r="AN25" s="10" t="s">
        <v>300</v>
      </c>
      <c r="AO25" s="10" t="s">
        <v>301</v>
      </c>
      <c r="AP25" s="10" t="s">
        <v>302</v>
      </c>
      <c r="AQ25" s="10" t="s">
        <v>303</v>
      </c>
      <c r="AR25" s="10" t="s">
        <v>302</v>
      </c>
      <c r="AS25" s="10" t="s">
        <v>304</v>
      </c>
      <c r="AT25" s="10" t="s">
        <v>305</v>
      </c>
    </row>
    <row r="26" spans="14:48" x14ac:dyDescent="0.25">
      <c r="T26" s="11" t="s">
        <v>307</v>
      </c>
      <c r="U26" s="11" t="s">
        <v>308</v>
      </c>
      <c r="V26" s="11" t="s">
        <v>309</v>
      </c>
      <c r="W26" s="11" t="s">
        <v>310</v>
      </c>
      <c r="X26" s="11" t="s">
        <v>311</v>
      </c>
      <c r="Y26" s="11" t="s">
        <v>312</v>
      </c>
      <c r="Z26" s="11" t="s">
        <v>313</v>
      </c>
      <c r="AA26" s="11" t="s">
        <v>314</v>
      </c>
      <c r="AB26" s="11" t="s">
        <v>315</v>
      </c>
      <c r="AC26" s="11" t="s">
        <v>316</v>
      </c>
      <c r="AD26" s="11" t="s">
        <v>317</v>
      </c>
      <c r="AE26" s="11" t="s">
        <v>318</v>
      </c>
      <c r="AF26" s="11" t="s">
        <v>319</v>
      </c>
      <c r="AG26" s="11" t="s">
        <v>320</v>
      </c>
      <c r="AH26" s="11" t="s">
        <v>321</v>
      </c>
      <c r="AI26" s="11" t="s">
        <v>322</v>
      </c>
      <c r="AJ26" s="11" t="s">
        <v>323</v>
      </c>
      <c r="AK26" s="11" t="s">
        <v>324</v>
      </c>
      <c r="AL26" s="11" t="s">
        <v>325</v>
      </c>
      <c r="AM26" s="11" t="s">
        <v>326</v>
      </c>
      <c r="AN26" s="11" t="s">
        <v>327</v>
      </c>
      <c r="AO26" s="11" t="s">
        <v>328</v>
      </c>
      <c r="AP26" s="11" t="s">
        <v>329</v>
      </c>
      <c r="AQ26" s="11" t="s">
        <v>330</v>
      </c>
      <c r="AR26" s="11" t="s">
        <v>331</v>
      </c>
      <c r="AS26" s="11" t="s">
        <v>332</v>
      </c>
      <c r="AT26" s="11" t="s">
        <v>333</v>
      </c>
    </row>
    <row r="27" spans="14:48" x14ac:dyDescent="0.25">
      <c r="T27" s="10" t="s">
        <v>703</v>
      </c>
      <c r="U27" s="10" t="s">
        <v>704</v>
      </c>
      <c r="V27" s="10" t="s">
        <v>705</v>
      </c>
      <c r="W27" s="10" t="s">
        <v>706</v>
      </c>
      <c r="X27" s="10" t="s">
        <v>707</v>
      </c>
      <c r="Y27" s="10" t="s">
        <v>708</v>
      </c>
      <c r="Z27" s="10" t="s">
        <v>709</v>
      </c>
      <c r="AA27" s="10" t="s">
        <v>710</v>
      </c>
      <c r="AB27" s="10" t="s">
        <v>711</v>
      </c>
      <c r="AC27" s="10" t="s">
        <v>712</v>
      </c>
      <c r="AD27" s="10" t="s">
        <v>713</v>
      </c>
      <c r="AE27" s="10" t="s">
        <v>714</v>
      </c>
      <c r="AF27" s="10" t="s">
        <v>715</v>
      </c>
      <c r="AG27" s="10" t="s">
        <v>716</v>
      </c>
      <c r="AH27" s="10" t="s">
        <v>717</v>
      </c>
      <c r="AI27" s="10" t="s">
        <v>718</v>
      </c>
      <c r="AJ27" s="10" t="s">
        <v>719</v>
      </c>
      <c r="AK27" s="10" t="s">
        <v>720</v>
      </c>
      <c r="AL27" s="10" t="s">
        <v>721</v>
      </c>
      <c r="AM27" s="10" t="s">
        <v>722</v>
      </c>
      <c r="AN27" s="10" t="s">
        <v>273</v>
      </c>
      <c r="AO27" s="10" t="s">
        <v>273</v>
      </c>
      <c r="AP27" s="10" t="s">
        <v>723</v>
      </c>
      <c r="AQ27" s="10" t="s">
        <v>724</v>
      </c>
      <c r="AR27" s="10" t="s">
        <v>725</v>
      </c>
      <c r="AS27" s="10" t="s">
        <v>726</v>
      </c>
      <c r="AT27" s="10" t="s">
        <v>727</v>
      </c>
    </row>
    <row r="28" spans="14:48" x14ac:dyDescent="0.25">
      <c r="T28" s="11" t="s">
        <v>729</v>
      </c>
      <c r="U28" s="11" t="s">
        <v>730</v>
      </c>
      <c r="V28" s="11" t="s">
        <v>731</v>
      </c>
      <c r="W28" s="11" t="s">
        <v>732</v>
      </c>
      <c r="X28" s="11" t="s">
        <v>733</v>
      </c>
      <c r="Y28" s="11" t="s">
        <v>734</v>
      </c>
      <c r="Z28" s="11" t="s">
        <v>735</v>
      </c>
      <c r="AA28" s="11" t="s">
        <v>736</v>
      </c>
      <c r="AB28" s="11" t="s">
        <v>737</v>
      </c>
      <c r="AC28" s="11" t="s">
        <v>738</v>
      </c>
      <c r="AD28" s="11" t="s">
        <v>739</v>
      </c>
      <c r="AE28" s="11" t="s">
        <v>740</v>
      </c>
      <c r="AF28" s="11" t="s">
        <v>741</v>
      </c>
      <c r="AG28" s="11" t="s">
        <v>742</v>
      </c>
      <c r="AH28" s="11" t="s">
        <v>743</v>
      </c>
      <c r="AI28" s="11" t="s">
        <v>744</v>
      </c>
      <c r="AJ28" s="11" t="s">
        <v>743</v>
      </c>
      <c r="AK28" s="11" t="s">
        <v>745</v>
      </c>
      <c r="AL28" s="11" t="s">
        <v>746</v>
      </c>
      <c r="AM28" s="11" t="s">
        <v>747</v>
      </c>
      <c r="AN28" s="11" t="s">
        <v>748</v>
      </c>
      <c r="AO28" s="11" t="s">
        <v>749</v>
      </c>
      <c r="AP28" s="11" t="s">
        <v>750</v>
      </c>
      <c r="AQ28" s="11" t="s">
        <v>751</v>
      </c>
      <c r="AR28" s="11" t="s">
        <v>752</v>
      </c>
      <c r="AS28" s="11" t="s">
        <v>753</v>
      </c>
      <c r="AT28" s="11" t="s">
        <v>754</v>
      </c>
    </row>
    <row r="29" spans="14:48" x14ac:dyDescent="0.25">
      <c r="T29" s="10" t="s">
        <v>590</v>
      </c>
      <c r="U29" s="10" t="s">
        <v>591</v>
      </c>
      <c r="V29" s="10" t="s">
        <v>592</v>
      </c>
      <c r="W29" s="10" t="s">
        <v>593</v>
      </c>
      <c r="X29" s="10" t="s">
        <v>594</v>
      </c>
      <c r="Y29" s="10" t="s">
        <v>591</v>
      </c>
      <c r="Z29" s="10" t="s">
        <v>595</v>
      </c>
      <c r="AA29" s="10" t="s">
        <v>596</v>
      </c>
      <c r="AB29" s="10" t="s">
        <v>596</v>
      </c>
      <c r="AC29" s="10" t="s">
        <v>597</v>
      </c>
      <c r="AD29" s="10" t="s">
        <v>598</v>
      </c>
      <c r="AE29" s="10" t="s">
        <v>599</v>
      </c>
      <c r="AF29" s="10" t="s">
        <v>599</v>
      </c>
      <c r="AG29" s="10" t="s">
        <v>600</v>
      </c>
      <c r="AH29" s="10" t="s">
        <v>601</v>
      </c>
      <c r="AI29" s="10" t="s">
        <v>602</v>
      </c>
      <c r="AJ29" s="10" t="s">
        <v>603</v>
      </c>
      <c r="AK29" s="10" t="s">
        <v>602</v>
      </c>
      <c r="AL29" s="10" t="s">
        <v>593</v>
      </c>
      <c r="AM29" s="10" t="s">
        <v>604</v>
      </c>
      <c r="AN29" s="10" t="s">
        <v>596</v>
      </c>
      <c r="AO29" s="10" t="s">
        <v>604</v>
      </c>
      <c r="AP29" s="10" t="s">
        <v>592</v>
      </c>
      <c r="AQ29" s="10" t="s">
        <v>605</v>
      </c>
      <c r="AR29" s="10" t="s">
        <v>596</v>
      </c>
      <c r="AS29" s="10" t="s">
        <v>592</v>
      </c>
      <c r="AT29" s="10" t="s">
        <v>596</v>
      </c>
    </row>
    <row r="30" spans="14:48" x14ac:dyDescent="0.25">
      <c r="T30" s="11" t="s">
        <v>607</v>
      </c>
      <c r="U30" s="11" t="s">
        <v>608</v>
      </c>
      <c r="V30" s="11" t="s">
        <v>609</v>
      </c>
      <c r="W30" s="11" t="s">
        <v>609</v>
      </c>
      <c r="X30" s="11" t="s">
        <v>610</v>
      </c>
      <c r="Y30" s="11" t="s">
        <v>611</v>
      </c>
      <c r="Z30" s="11" t="s">
        <v>612</v>
      </c>
      <c r="AA30" s="11" t="s">
        <v>613</v>
      </c>
      <c r="AB30" s="11" t="s">
        <v>614</v>
      </c>
      <c r="AC30" s="11" t="s">
        <v>599</v>
      </c>
      <c r="AD30" s="11" t="s">
        <v>615</v>
      </c>
      <c r="AE30" s="11" t="s">
        <v>603</v>
      </c>
      <c r="AF30" s="11" t="s">
        <v>616</v>
      </c>
      <c r="AG30" s="11" t="s">
        <v>603</v>
      </c>
      <c r="AH30" s="11" t="s">
        <v>617</v>
      </c>
      <c r="AI30" s="11" t="s">
        <v>615</v>
      </c>
      <c r="AJ30" s="11" t="s">
        <v>617</v>
      </c>
      <c r="AK30" s="11" t="s">
        <v>617</v>
      </c>
      <c r="AL30" s="11" t="s">
        <v>600</v>
      </c>
      <c r="AM30" s="11" t="s">
        <v>618</v>
      </c>
      <c r="AN30" s="11" t="s">
        <v>605</v>
      </c>
      <c r="AO30" s="11" t="s">
        <v>600</v>
      </c>
      <c r="AP30" s="11" t="s">
        <v>615</v>
      </c>
      <c r="AQ30" s="11" t="s">
        <v>619</v>
      </c>
      <c r="AR30" s="11" t="s">
        <v>596</v>
      </c>
      <c r="AS30" s="11" t="s">
        <v>592</v>
      </c>
      <c r="AT30" s="11" t="s">
        <v>618</v>
      </c>
    </row>
    <row r="31" spans="14:48" ht="15.75" thickBot="1" x14ac:dyDescent="0.3"/>
    <row r="32" spans="14:48" ht="15.75" thickBot="1" x14ac:dyDescent="0.3">
      <c r="T32">
        <f>T1-T17</f>
        <v>-5.4147773766546003E-2</v>
      </c>
      <c r="U32">
        <f t="shared" ref="U32:AU41" si="0">U1-U17</f>
        <v>9.6963898916967994E-2</v>
      </c>
      <c r="V32">
        <f t="shared" si="0"/>
        <v>-1.4225992779783092E-2</v>
      </c>
      <c r="W32">
        <f t="shared" si="0"/>
        <v>-5.2848856799030064E-2</v>
      </c>
      <c r="X32">
        <f t="shared" si="0"/>
        <v>9.7507099879662995E-2</v>
      </c>
      <c r="Y32">
        <f t="shared" si="0"/>
        <v>6.2413838748496042E-2</v>
      </c>
      <c r="Z32">
        <f t="shared" si="0"/>
        <v>0.18199362214199799</v>
      </c>
      <c r="AA32">
        <f t="shared" si="0"/>
        <v>1.8323947051745004E-2</v>
      </c>
      <c r="AB32" s="26">
        <f t="shared" si="0"/>
        <v>3.3480144404333001E-2</v>
      </c>
      <c r="AC32">
        <f t="shared" si="0"/>
        <v>-3.496594464500602E-2</v>
      </c>
      <c r="AD32">
        <f t="shared" si="0"/>
        <v>2.8509025270760935E-3</v>
      </c>
      <c r="AE32">
        <f t="shared" si="0"/>
        <v>-1.0567629362214004E-2</v>
      </c>
      <c r="AF32">
        <f t="shared" si="0"/>
        <v>2.1018892900121044E-2</v>
      </c>
      <c r="AG32">
        <f t="shared" si="0"/>
        <v>-1.5403128760027585E-5</v>
      </c>
      <c r="AH32">
        <f t="shared" si="0"/>
        <v>7.2587244284000318E-3</v>
      </c>
      <c r="AI32">
        <f t="shared" si="0"/>
        <v>2.762334536702804E-2</v>
      </c>
      <c r="AJ32">
        <f t="shared" si="0"/>
        <v>1.2323345367027949E-2</v>
      </c>
      <c r="AK32" s="26">
        <f t="shared" si="0"/>
        <v>2.9866064981949991E-2</v>
      </c>
      <c r="AL32">
        <f t="shared" si="0"/>
        <v>-3.3195547533092062E-2</v>
      </c>
      <c r="AM32">
        <f t="shared" si="0"/>
        <v>-1.8182069795427025E-2</v>
      </c>
      <c r="AN32">
        <f t="shared" si="0"/>
        <v>-1.6483754512635063E-2</v>
      </c>
      <c r="AO32">
        <f t="shared" si="0"/>
        <v>-2.3803850782190272E-3</v>
      </c>
      <c r="AP32">
        <f t="shared" si="0"/>
        <v>1.3213959085439986E-2</v>
      </c>
      <c r="AQ32">
        <f t="shared" si="0"/>
        <v>5.4156438026480291E-3</v>
      </c>
      <c r="AR32">
        <f t="shared" si="0"/>
        <v>6.1987966305659947E-3</v>
      </c>
      <c r="AS32">
        <f t="shared" si="0"/>
        <v>-8.1062575210579801E-3</v>
      </c>
      <c r="AT32">
        <f t="shared" si="0"/>
        <v>2.9192057761733059E-2</v>
      </c>
      <c r="AU32">
        <f t="shared" si="0"/>
        <v>0</v>
      </c>
      <c r="AV32" s="16">
        <f>AVERAGE(T32:AT32)</f>
        <v>1.4834247002719366E-2</v>
      </c>
    </row>
    <row r="33" spans="17:48" ht="15.75" thickBot="1" x14ac:dyDescent="0.3">
      <c r="T33">
        <f t="shared" ref="T33:AH46" si="1">T2-T18</f>
        <v>-6.7356554781500266E-3</v>
      </c>
      <c r="U33">
        <f t="shared" si="1"/>
        <v>-6.1466307789739938E-2</v>
      </c>
      <c r="V33">
        <f t="shared" si="1"/>
        <v>4.7264534515516932E-2</v>
      </c>
      <c r="W33">
        <f t="shared" si="1"/>
        <v>-1.5536630504140003E-2</v>
      </c>
      <c r="X33">
        <f t="shared" si="1"/>
        <v>-1.0270044331855077E-2</v>
      </c>
      <c r="Y33">
        <f t="shared" si="1"/>
        <v>2.1163394553515014E-2</v>
      </c>
      <c r="Z33">
        <f t="shared" si="1"/>
        <v>-6.2800253324889033E-2</v>
      </c>
      <c r="AA33">
        <f t="shared" si="1"/>
        <v>0.10059670677644106</v>
      </c>
      <c r="AB33" s="26">
        <f t="shared" si="1"/>
        <v>0.23001512444160899</v>
      </c>
      <c r="AC33">
        <f t="shared" si="1"/>
        <v>9.8960101329960137E-3</v>
      </c>
      <c r="AD33">
        <f t="shared" si="1"/>
        <v>2.0029385687143964E-2</v>
      </c>
      <c r="AE33">
        <f t="shared" si="1"/>
        <v>-7.903673210892026E-3</v>
      </c>
      <c r="AF33">
        <f t="shared" si="1"/>
        <v>-2.21774090618998E-3</v>
      </c>
      <c r="AG33">
        <f t="shared" si="1"/>
        <v>1.4095313489551065E-2</v>
      </c>
      <c r="AH33">
        <f t="shared" si="1"/>
        <v>3.7362317922736032E-2</v>
      </c>
      <c r="AI33">
        <f t="shared" si="0"/>
        <v>4.8995820139329016E-2</v>
      </c>
      <c r="AJ33">
        <f t="shared" si="0"/>
        <v>3.2061937935403018E-2</v>
      </c>
      <c r="AK33" s="26">
        <f t="shared" si="0"/>
        <v>2.9294256541162023E-2</v>
      </c>
      <c r="AL33">
        <f t="shared" si="0"/>
        <v>-5.3670044331849409E-3</v>
      </c>
      <c r="AM33">
        <f t="shared" si="0"/>
        <v>-6.6003166561110493E-3</v>
      </c>
      <c r="AN33">
        <f t="shared" si="0"/>
        <v>-5.9670044331849859E-3</v>
      </c>
      <c r="AO33">
        <f t="shared" si="0"/>
        <v>-2.5130823229100319E-3</v>
      </c>
      <c r="AP33">
        <f t="shared" si="0"/>
        <v>-5.0671944268519953E-3</v>
      </c>
      <c r="AQ33">
        <f t="shared" si="0"/>
        <v>3.9994300190000498E-3</v>
      </c>
      <c r="AR33">
        <f t="shared" si="0"/>
        <v>6.7661811272959893E-3</v>
      </c>
      <c r="AS33">
        <f t="shared" si="0"/>
        <v>5.3326789107029926E-3</v>
      </c>
      <c r="AT33">
        <f t="shared" si="0"/>
        <v>1.4303765156349346E-3</v>
      </c>
      <c r="AU33">
        <f t="shared" si="0"/>
        <v>0</v>
      </c>
      <c r="AV33" s="16">
        <f t="shared" ref="AV33:AV45" si="2">AVERAGE(T33:AT33)</f>
        <v>1.5402168921849556E-2</v>
      </c>
    </row>
    <row r="34" spans="17:48" ht="15.75" thickBot="1" x14ac:dyDescent="0.3">
      <c r="T34">
        <f t="shared" si="1"/>
        <v>-7.4979122915369789E-2</v>
      </c>
      <c r="U34">
        <f t="shared" si="0"/>
        <v>-0.59055614576898996</v>
      </c>
      <c r="V34">
        <f t="shared" si="0"/>
        <v>-0.18849048795551993</v>
      </c>
      <c r="W34">
        <f t="shared" si="0"/>
        <v>-0.10152111959287002</v>
      </c>
      <c r="X34">
        <f t="shared" si="0"/>
        <v>2.4686349598518009E-2</v>
      </c>
      <c r="Y34">
        <f t="shared" si="0"/>
        <v>2.9080975911056961E-2</v>
      </c>
      <c r="Z34">
        <f t="shared" si="0"/>
        <v>1.2215379864114029E-2</v>
      </c>
      <c r="AA34">
        <f t="shared" si="0"/>
        <v>0.14242260654725203</v>
      </c>
      <c r="AB34" s="26">
        <f t="shared" si="0"/>
        <v>0.22818524173027988</v>
      </c>
      <c r="AC34">
        <f t="shared" si="0"/>
        <v>-2.4860345892526059E-2</v>
      </c>
      <c r="AD34">
        <f t="shared" si="0"/>
        <v>-2.7519950586781028E-2</v>
      </c>
      <c r="AE34">
        <f t="shared" si="0"/>
        <v>-3.1519332921556065E-2</v>
      </c>
      <c r="AF34">
        <f t="shared" si="0"/>
        <v>1.2963358778625977E-2</v>
      </c>
      <c r="AG34">
        <f t="shared" si="0"/>
        <v>2.3481902408895028E-2</v>
      </c>
      <c r="AH34">
        <f t="shared" si="0"/>
        <v>2.4071155033971947E-2</v>
      </c>
      <c r="AI34">
        <f t="shared" si="0"/>
        <v>2.970049413218101E-2</v>
      </c>
      <c r="AJ34">
        <f t="shared" si="0"/>
        <v>5.4165781346510955E-2</v>
      </c>
      <c r="AK34" s="26">
        <f t="shared" si="0"/>
        <v>6.9746310432569958E-2</v>
      </c>
      <c r="AL34">
        <f t="shared" si="0"/>
        <v>-7.8763434218649397E-3</v>
      </c>
      <c r="AM34">
        <f t="shared" si="0"/>
        <v>-7.4470043236559702E-3</v>
      </c>
      <c r="AN34">
        <f t="shared" si="0"/>
        <v>-4.9763434218649261E-3</v>
      </c>
      <c r="AO34">
        <f t="shared" si="0"/>
        <v>-2.4134860050889495E-3</v>
      </c>
      <c r="AP34">
        <f t="shared" si="0"/>
        <v>1.7265287214330072E-2</v>
      </c>
      <c r="AQ34">
        <f t="shared" si="0"/>
        <v>1.8282890674070629E-5</v>
      </c>
      <c r="AR34">
        <f t="shared" si="0"/>
        <v>-1.4936998147000446E-3</v>
      </c>
      <c r="AS34">
        <f t="shared" si="0"/>
        <v>1.5594935145151978E-2</v>
      </c>
      <c r="AT34">
        <f t="shared" si="0"/>
        <v>4.3135114503817018E-2</v>
      </c>
      <c r="AU34">
        <f t="shared" si="0"/>
        <v>0</v>
      </c>
      <c r="AV34" s="16">
        <f t="shared" si="2"/>
        <v>-1.2478526188253288E-2</v>
      </c>
    </row>
    <row r="35" spans="17:48" ht="15.75" thickBot="1" x14ac:dyDescent="0.3">
      <c r="T35">
        <f t="shared" si="1"/>
        <v>-8.6470752089136016E-2</v>
      </c>
      <c r="U35">
        <f t="shared" si="0"/>
        <v>-0.17370612813370401</v>
      </c>
      <c r="V35">
        <f t="shared" si="0"/>
        <v>-1.7183286908078022E-2</v>
      </c>
      <c r="W35">
        <f t="shared" si="0"/>
        <v>2.4203342618384971E-2</v>
      </c>
      <c r="X35">
        <f t="shared" si="0"/>
        <v>-4.5688857938718019E-2</v>
      </c>
      <c r="Y35">
        <f t="shared" si="0"/>
        <v>7.5403899721450118E-3</v>
      </c>
      <c r="Z35">
        <f t="shared" si="0"/>
        <v>0.18821002785515395</v>
      </c>
      <c r="AA35">
        <f t="shared" si="0"/>
        <v>-4.0754596100277984E-2</v>
      </c>
      <c r="AB35" s="26">
        <f t="shared" si="0"/>
        <v>0.37672757660167211</v>
      </c>
      <c r="AC35">
        <f t="shared" si="0"/>
        <v>3.7132590529248E-2</v>
      </c>
      <c r="AD35">
        <f t="shared" si="0"/>
        <v>1.8132590529247983E-2</v>
      </c>
      <c r="AE35">
        <f t="shared" si="0"/>
        <v>9.3894150417830335E-3</v>
      </c>
      <c r="AF35">
        <f t="shared" si="0"/>
        <v>5.7903899721449048E-2</v>
      </c>
      <c r="AG35">
        <f t="shared" si="0"/>
        <v>-7.4635097493035985E-2</v>
      </c>
      <c r="AH35">
        <f t="shared" si="0"/>
        <v>5.8151532033426934E-2</v>
      </c>
      <c r="AI35">
        <f t="shared" si="0"/>
        <v>1.7880222841226034E-2</v>
      </c>
      <c r="AJ35">
        <f t="shared" si="0"/>
        <v>-5.7612813370470084E-3</v>
      </c>
      <c r="AK35" s="26">
        <f t="shared" si="0"/>
        <v>3.0974930362204223E-4</v>
      </c>
      <c r="AL35">
        <f t="shared" si="0"/>
        <v>3.0290250696379029E-2</v>
      </c>
      <c r="AM35">
        <f t="shared" si="0"/>
        <v>2.5389693593314999E-2</v>
      </c>
      <c r="AN35">
        <f t="shared" si="0"/>
        <v>2.1346518105850087E-2</v>
      </c>
      <c r="AO35">
        <f t="shared" si="0"/>
        <v>5.7116713091922011E-2</v>
      </c>
      <c r="AP35">
        <f t="shared" si="0"/>
        <v>5.1212813370474009E-2</v>
      </c>
      <c r="AQ35">
        <f t="shared" si="0"/>
        <v>0.12840334261838493</v>
      </c>
      <c r="AR35">
        <f t="shared" si="0"/>
        <v>0.10437576601671394</v>
      </c>
      <c r="AS35">
        <f t="shared" si="0"/>
        <v>9.6532869080779959E-2</v>
      </c>
      <c r="AT35">
        <f t="shared" si="0"/>
        <v>0.11976072423398398</v>
      </c>
      <c r="AU35">
        <f t="shared" si="0"/>
        <v>0</v>
      </c>
      <c r="AV35" s="16">
        <f t="shared" si="2"/>
        <v>3.651148251315426E-2</v>
      </c>
    </row>
    <row r="36" spans="17:48" ht="15.75" thickBot="1" x14ac:dyDescent="0.3">
      <c r="T36">
        <f t="shared" si="1"/>
        <v>6.1112814895949996E-3</v>
      </c>
      <c r="U36">
        <f t="shared" si="0"/>
        <v>6.9558926615553962E-2</v>
      </c>
      <c r="V36">
        <f t="shared" si="0"/>
        <v>3.0058926615553982E-2</v>
      </c>
      <c r="W36">
        <f t="shared" si="0"/>
        <v>0.12541325301204903</v>
      </c>
      <c r="X36">
        <f t="shared" si="0"/>
        <v>-3.8745892661550263E-3</v>
      </c>
      <c r="Y36">
        <f t="shared" si="0"/>
        <v>-1.141073384446023E-3</v>
      </c>
      <c r="Z36">
        <f t="shared" si="0"/>
        <v>5.3272508214676995E-2</v>
      </c>
      <c r="AA36">
        <f t="shared" si="0"/>
        <v>0.125578313253013</v>
      </c>
      <c r="AB36" s="26">
        <f t="shared" si="0"/>
        <v>0.18836144578313296</v>
      </c>
      <c r="AC36">
        <f t="shared" si="0"/>
        <v>-2.5642497261774033E-2</v>
      </c>
      <c r="AD36">
        <f t="shared" si="0"/>
        <v>2.1019277108433987E-2</v>
      </c>
      <c r="AE36">
        <f t="shared" si="0"/>
        <v>-1.4418400876231974E-2</v>
      </c>
      <c r="AF36">
        <f t="shared" si="0"/>
        <v>4.9311281489595016E-2</v>
      </c>
      <c r="AG36">
        <f t="shared" si="0"/>
        <v>1.1097918948522023E-2</v>
      </c>
      <c r="AH36">
        <f t="shared" si="0"/>
        <v>1.7406919275130273E-3</v>
      </c>
      <c r="AI36">
        <f t="shared" si="0"/>
        <v>4.6392113910186994E-2</v>
      </c>
      <c r="AJ36">
        <f t="shared" si="0"/>
        <v>8.9497261774370007E-3</v>
      </c>
      <c r="AK36" s="26">
        <f t="shared" si="0"/>
        <v>9.3946987951808003E-2</v>
      </c>
      <c r="AL36">
        <f t="shared" si="0"/>
        <v>-4.8587404162103054E-2</v>
      </c>
      <c r="AM36">
        <f t="shared" si="0"/>
        <v>4.4278203723989717E-3</v>
      </c>
      <c r="AN36">
        <f t="shared" si="0"/>
        <v>-4.3206790799561023E-2</v>
      </c>
      <c r="AO36">
        <f t="shared" si="0"/>
        <v>3.7653340635269039E-2</v>
      </c>
      <c r="AP36">
        <f t="shared" si="0"/>
        <v>-2.4028696604600053E-2</v>
      </c>
      <c r="AQ36">
        <f t="shared" si="0"/>
        <v>-2.881456736034993E-2</v>
      </c>
      <c r="AR36">
        <f t="shared" si="0"/>
        <v>1.8204271631983016E-2</v>
      </c>
      <c r="AS36">
        <f t="shared" si="0"/>
        <v>-2.9234501642934951E-2</v>
      </c>
      <c r="AT36">
        <f t="shared" si="0"/>
        <v>5.0930339539978942E-2</v>
      </c>
      <c r="AU36">
        <f t="shared" si="0"/>
        <v>0</v>
      </c>
      <c r="AV36" s="16">
        <f t="shared" si="2"/>
        <v>2.6780737159946107E-2</v>
      </c>
    </row>
    <row r="37" spans="17:48" ht="15.75" thickBot="1" x14ac:dyDescent="0.3">
      <c r="Q37" s="17" t="s">
        <v>1174</v>
      </c>
      <c r="R37" s="18">
        <f>AVERAGE(T32:AT45)</f>
        <v>1.7749621379982188E-2</v>
      </c>
      <c r="T37">
        <f t="shared" si="1"/>
        <v>3.9141499472020724E-3</v>
      </c>
      <c r="U37">
        <f t="shared" si="0"/>
        <v>0.11342650475184801</v>
      </c>
      <c r="V37">
        <f t="shared" si="0"/>
        <v>9.8114994720168935E-2</v>
      </c>
      <c r="W37">
        <f t="shared" si="0"/>
        <v>0.13957180570221794</v>
      </c>
      <c r="X37">
        <f t="shared" si="0"/>
        <v>8.9853220696940461E-3</v>
      </c>
      <c r="Y37">
        <f t="shared" si="0"/>
        <v>3.5724392819430073E-2</v>
      </c>
      <c r="Z37">
        <f t="shared" si="0"/>
        <v>0.10556473072861694</v>
      </c>
      <c r="AA37">
        <f t="shared" si="0"/>
        <v>3.358817317845908E-2</v>
      </c>
      <c r="AB37" s="26">
        <f t="shared" si="0"/>
        <v>0.24822935586061301</v>
      </c>
      <c r="AC37">
        <f t="shared" si="0"/>
        <v>-1.5931995776135022E-2</v>
      </c>
      <c r="AD37">
        <f t="shared" si="0"/>
        <v>8.7235902851109048E-2</v>
      </c>
      <c r="AE37">
        <f t="shared" si="0"/>
        <v>-8.0881355932200805E-3</v>
      </c>
      <c r="AF37">
        <f t="shared" si="0"/>
        <v>4.1693136219640992E-2</v>
      </c>
      <c r="AG37">
        <f t="shared" si="0"/>
        <v>3.8502534318902049E-2</v>
      </c>
      <c r="AH37">
        <f t="shared" si="0"/>
        <v>3.7873706441393984E-2</v>
      </c>
      <c r="AI37">
        <f t="shared" si="0"/>
        <v>0.14257782470961</v>
      </c>
      <c r="AJ37">
        <f t="shared" si="0"/>
        <v>5.0985638859556981E-2</v>
      </c>
      <c r="AK37" s="26">
        <f t="shared" si="0"/>
        <v>8.336715945089801E-2</v>
      </c>
      <c r="AL37">
        <f t="shared" si="0"/>
        <v>-1.3774023231249988E-3</v>
      </c>
      <c r="AM37">
        <f t="shared" si="0"/>
        <v>1.6578986272440033E-2</v>
      </c>
      <c r="AN37">
        <f t="shared" si="0"/>
        <v>-2.3531151003159945E-3</v>
      </c>
      <c r="AO37">
        <f t="shared" si="0"/>
        <v>8.3308342133059377E-3</v>
      </c>
      <c r="AP37">
        <f t="shared" si="0"/>
        <v>1.0574023231257001E-2</v>
      </c>
      <c r="AQ37">
        <f t="shared" si="0"/>
        <v>-5.0263991551946496E-5</v>
      </c>
      <c r="AR37">
        <f t="shared" si="0"/>
        <v>2.8494192185851031E-2</v>
      </c>
      <c r="AS37">
        <f t="shared" si="0"/>
        <v>3.0616684266110417E-3</v>
      </c>
      <c r="AT37">
        <f t="shared" si="0"/>
        <v>5.7197043294614947E-2</v>
      </c>
      <c r="AU37">
        <f t="shared" si="0"/>
        <v>0</v>
      </c>
      <c r="AV37" s="16">
        <f t="shared" si="2"/>
        <v>5.0584858054410868E-2</v>
      </c>
    </row>
    <row r="38" spans="17:48" ht="15.75" thickBot="1" x14ac:dyDescent="0.3">
      <c r="Q38" s="19" t="s">
        <v>1175</v>
      </c>
      <c r="R38" s="20">
        <f>AVERAGE(T32:AB45)</f>
        <v>3.3052013550843501E-2</v>
      </c>
      <c r="T38">
        <f t="shared" si="1"/>
        <v>-0.15308288238541989</v>
      </c>
      <c r="U38">
        <f t="shared" si="0"/>
        <v>5.0801325234677064E-2</v>
      </c>
      <c r="V38">
        <f t="shared" si="0"/>
        <v>-0.17549630038652009</v>
      </c>
      <c r="W38">
        <f t="shared" si="0"/>
        <v>0.23817890668139996</v>
      </c>
      <c r="X38">
        <f t="shared" si="0"/>
        <v>5.4665764770844949E-2</v>
      </c>
      <c r="Y38">
        <f t="shared" si="0"/>
        <v>-5.0656212037547999E-2</v>
      </c>
      <c r="Z38">
        <f t="shared" si="0"/>
        <v>0.22359243511871907</v>
      </c>
      <c r="AA38">
        <f t="shared" si="0"/>
        <v>-3.4949806736600086E-2</v>
      </c>
      <c r="AB38" s="26">
        <f t="shared" si="0"/>
        <v>1.1662072335726201</v>
      </c>
      <c r="AC38">
        <f t="shared" si="0"/>
        <v>-1.4911761457757966E-2</v>
      </c>
      <c r="AD38">
        <f t="shared" si="0"/>
        <v>-8.7266703478705576E-4</v>
      </c>
      <c r="AE38">
        <f t="shared" si="0"/>
        <v>-2.5463279955819651E-3</v>
      </c>
      <c r="AF38">
        <f t="shared" si="0"/>
        <v>6.3665930425180761E-3</v>
      </c>
      <c r="AG38">
        <f t="shared" si="0"/>
        <v>-7.2167863059079407E-3</v>
      </c>
      <c r="AH38">
        <f t="shared" si="0"/>
        <v>-2.5077305356150381E-3</v>
      </c>
      <c r="AI38">
        <f t="shared" si="0"/>
        <v>1.2174820541137943E-2</v>
      </c>
      <c r="AJ38">
        <f t="shared" si="0"/>
        <v>1.0631695196025026E-2</v>
      </c>
      <c r="AK38" s="26">
        <f t="shared" si="0"/>
        <v>2.3340419657647993E-2</v>
      </c>
      <c r="AL38">
        <f t="shared" si="0"/>
        <v>-1.1008558807288016E-2</v>
      </c>
      <c r="AM38">
        <f t="shared" si="0"/>
        <v>5.8436223081179683E-3</v>
      </c>
      <c r="AN38">
        <f t="shared" si="0"/>
        <v>-6.0260077305349657E-3</v>
      </c>
      <c r="AO38">
        <f t="shared" si="0"/>
        <v>-4.321645499723914E-3</v>
      </c>
      <c r="AP38">
        <f t="shared" si="0"/>
        <v>1.3847984538928992E-2</v>
      </c>
      <c r="AQ38">
        <f t="shared" si="0"/>
        <v>3.3761071231363959E-2</v>
      </c>
      <c r="AR38">
        <f t="shared" si="0"/>
        <v>3.7504527885147021E-2</v>
      </c>
      <c r="AS38">
        <f t="shared" si="0"/>
        <v>2.309580342352302E-2</v>
      </c>
      <c r="AT38">
        <f t="shared" si="0"/>
        <v>3.2317614577582088E-2</v>
      </c>
      <c r="AU38">
        <f t="shared" si="0"/>
        <v>0</v>
      </c>
      <c r="AV38" s="16">
        <f t="shared" si="2"/>
        <v>5.4397523365443269E-2</v>
      </c>
    </row>
    <row r="39" spans="17:48" ht="15.75" thickBot="1" x14ac:dyDescent="0.3">
      <c r="Q39" s="19" t="s">
        <v>1176</v>
      </c>
      <c r="R39" s="20">
        <f>AVERAGE(AC32:AK45)</f>
        <v>1.3338396217628813E-2</v>
      </c>
      <c r="T39">
        <f t="shared" si="1"/>
        <v>8.3923821098689899E-2</v>
      </c>
      <c r="U39">
        <f t="shared" si="0"/>
        <v>0.77951016042781007</v>
      </c>
      <c r="V39">
        <f t="shared" si="0"/>
        <v>-0.26215999027709991</v>
      </c>
      <c r="W39">
        <f t="shared" si="0"/>
        <v>0.51190367827367012</v>
      </c>
      <c r="X39">
        <f t="shared" si="0"/>
        <v>-8.7482352941169905E-2</v>
      </c>
      <c r="Y39">
        <f t="shared" si="0"/>
        <v>0.63196378220710003</v>
      </c>
      <c r="Z39">
        <f t="shared" si="0"/>
        <v>0.36152523091881994</v>
      </c>
      <c r="AA39">
        <f t="shared" si="0"/>
        <v>-5.4375692756440053E-2</v>
      </c>
      <c r="AB39" s="26">
        <f t="shared" si="0"/>
        <v>0.49758509073075996</v>
      </c>
      <c r="AC39">
        <f t="shared" si="0"/>
        <v>-4.7624712930603996E-2</v>
      </c>
      <c r="AD39">
        <f t="shared" si="0"/>
        <v>-4.6194786030496093E-2</v>
      </c>
      <c r="AE39">
        <f t="shared" si="0"/>
        <v>-1.4867089224767982E-2</v>
      </c>
      <c r="AF39">
        <f t="shared" si="0"/>
        <v>-1.4965910212136002E-2</v>
      </c>
      <c r="AG39">
        <f t="shared" si="0"/>
        <v>-2.4831891103547998E-2</v>
      </c>
      <c r="AH39">
        <f t="shared" si="0"/>
        <v>-5.3819512195121044E-2</v>
      </c>
      <c r="AI39">
        <f t="shared" si="0"/>
        <v>-4.3731307729703017E-2</v>
      </c>
      <c r="AJ39">
        <f t="shared" si="0"/>
        <v>-7.5493437044229506E-3</v>
      </c>
      <c r="AK39" s="26">
        <f t="shared" si="0"/>
        <v>-8.4249632172630484E-3</v>
      </c>
      <c r="AL39">
        <f t="shared" si="0"/>
        <v>-2.2999999999999687E-3</v>
      </c>
      <c r="AM39">
        <f t="shared" si="0"/>
        <v>-2.2999999999999687E-3</v>
      </c>
      <c r="AN39">
        <f t="shared" si="0"/>
        <v>-2.7415653864849565E-3</v>
      </c>
      <c r="AO39">
        <f t="shared" si="0"/>
        <v>2.7567435017195052E-4</v>
      </c>
      <c r="AP39">
        <f t="shared" si="0"/>
        <v>-4.385512882829623E-4</v>
      </c>
      <c r="AQ39">
        <f t="shared" si="0"/>
        <v>-6.0000000000000053E-3</v>
      </c>
      <c r="AR39">
        <f t="shared" si="0"/>
        <v>-1.8138551288279237E-3</v>
      </c>
      <c r="AS39">
        <f t="shared" si="0"/>
        <v>2.6198833252309983E-3</v>
      </c>
      <c r="AT39">
        <f t="shared" si="0"/>
        <v>9.0513487003439641E-3</v>
      </c>
      <c r="AU39">
        <f t="shared" si="0"/>
        <v>0</v>
      </c>
      <c r="AV39" s="16">
        <f t="shared" si="2"/>
        <v>8.1360635033563999E-2</v>
      </c>
    </row>
    <row r="40" spans="17:48" ht="15.75" thickBot="1" x14ac:dyDescent="0.3">
      <c r="Q40" s="21" t="s">
        <v>1177</v>
      </c>
      <c r="R40" s="22">
        <f>AVERAGE(AL32:AT45)</f>
        <v>6.8584543714741647E-3</v>
      </c>
      <c r="T40">
        <f t="shared" si="1"/>
        <v>3.0150991357399959E-3</v>
      </c>
      <c r="U40">
        <f t="shared" si="0"/>
        <v>8.7570513472292943E-2</v>
      </c>
      <c r="V40">
        <f t="shared" si="0"/>
        <v>-7.3436197254700408E-3</v>
      </c>
      <c r="W40">
        <f t="shared" si="0"/>
        <v>0.27513880597015</v>
      </c>
      <c r="X40">
        <f t="shared" si="0"/>
        <v>1.4238942552110001E-2</v>
      </c>
      <c r="Y40">
        <f t="shared" si="0"/>
        <v>4.6905948144390086E-3</v>
      </c>
      <c r="Z40">
        <f t="shared" si="0"/>
        <v>6.5677580071174968E-2</v>
      </c>
      <c r="AA40">
        <f t="shared" si="0"/>
        <v>1.6456380274529947E-2</v>
      </c>
      <c r="AB40" s="26">
        <f t="shared" si="0"/>
        <v>0.31926685537828203</v>
      </c>
      <c r="AC40">
        <f t="shared" si="0"/>
        <v>-5.3007422470767007E-2</v>
      </c>
      <c r="AD40">
        <f t="shared" si="0"/>
        <v>0.11601311642094597</v>
      </c>
      <c r="AE40">
        <f t="shared" si="0"/>
        <v>-5.5491967463141001E-2</v>
      </c>
      <c r="AF40">
        <f t="shared" si="0"/>
        <v>5.5360216160577014E-2</v>
      </c>
      <c r="AG40">
        <f t="shared" si="0"/>
        <v>-4.6039654295798593E-4</v>
      </c>
      <c r="AH40">
        <f t="shared" si="0"/>
        <v>4.5040920716120092E-3</v>
      </c>
      <c r="AI40">
        <f t="shared" si="0"/>
        <v>0.17545394001016806</v>
      </c>
      <c r="AJ40">
        <f t="shared" si="0"/>
        <v>4.7265731769505992E-2</v>
      </c>
      <c r="AK40" s="26">
        <f t="shared" si="0"/>
        <v>0.12209500772002096</v>
      </c>
      <c r="AL40">
        <f t="shared" si="0"/>
        <v>-4.1040213523131031E-2</v>
      </c>
      <c r="AM40">
        <f t="shared" si="0"/>
        <v>3.1580325368582018E-2</v>
      </c>
      <c r="AN40">
        <f t="shared" si="0"/>
        <v>-1.0849262836806983E-2</v>
      </c>
      <c r="AO40">
        <f t="shared" si="0"/>
        <v>4.2856407617086978E-2</v>
      </c>
      <c r="AP40">
        <f t="shared" si="0"/>
        <v>4.9294001016777056E-2</v>
      </c>
      <c r="AQ40">
        <f t="shared" si="0"/>
        <v>1.6965073716319945E-2</v>
      </c>
      <c r="AR40">
        <f t="shared" si="0"/>
        <v>8.2394001016777074E-2</v>
      </c>
      <c r="AS40">
        <f t="shared" si="0"/>
        <v>5.1983172343671002E-2</v>
      </c>
      <c r="AT40">
        <f t="shared" si="0"/>
        <v>6.9371178589810012E-2</v>
      </c>
      <c r="AU40">
        <f t="shared" si="0"/>
        <v>0</v>
      </c>
      <c r="AV40" s="16">
        <f t="shared" si="2"/>
        <v>5.4925857515862916E-2</v>
      </c>
    </row>
    <row r="41" spans="17:48" ht="15.75" thickBot="1" x14ac:dyDescent="0.3">
      <c r="T41">
        <f t="shared" si="1"/>
        <v>-5.0955818540433961E-2</v>
      </c>
      <c r="U41">
        <f t="shared" si="0"/>
        <v>0.15872702169625297</v>
      </c>
      <c r="V41">
        <f t="shared" si="0"/>
        <v>2.0250887573964982E-2</v>
      </c>
      <c r="W41">
        <f t="shared" si="0"/>
        <v>0.16465256078634305</v>
      </c>
      <c r="X41">
        <f t="shared" si="0"/>
        <v>6.3653648915188099E-2</v>
      </c>
      <c r="Y41">
        <f t="shared" si="0"/>
        <v>3.2801972386587996E-2</v>
      </c>
      <c r="Z41">
        <f t="shared" si="0"/>
        <v>0.17126055226824499</v>
      </c>
      <c r="AA41">
        <f t="shared" si="0"/>
        <v>6.6457199211045981E-2</v>
      </c>
      <c r="AB41" s="26">
        <f t="shared" si="0"/>
        <v>0.44956487325400996</v>
      </c>
      <c r="AC41">
        <f t="shared" ref="U41:AU46" si="3">AC10-AC26</f>
        <v>-8.5701380670610949E-2</v>
      </c>
      <c r="AD41">
        <f t="shared" si="3"/>
        <v>3.2912426035502929E-2</v>
      </c>
      <c r="AE41">
        <f t="shared" si="3"/>
        <v>-5.1914990138066996E-2</v>
      </c>
      <c r="AF41">
        <f t="shared" si="3"/>
        <v>4.6713088463529062E-2</v>
      </c>
      <c r="AG41">
        <f t="shared" si="3"/>
        <v>2.9598224852071087E-2</v>
      </c>
      <c r="AH41">
        <f t="shared" si="3"/>
        <v>4.8315187376726021E-2</v>
      </c>
      <c r="AI41">
        <f t="shared" si="3"/>
        <v>0.11359467455621308</v>
      </c>
      <c r="AJ41">
        <f t="shared" si="3"/>
        <v>0.10435641025641107</v>
      </c>
      <c r="AK41" s="26">
        <f t="shared" si="3"/>
        <v>0.13310610450077598</v>
      </c>
      <c r="AL41">
        <f t="shared" si="3"/>
        <v>-4.7352071005916985E-2</v>
      </c>
      <c r="AM41">
        <f t="shared" si="3"/>
        <v>-1.3865877712031072E-2</v>
      </c>
      <c r="AN41">
        <f t="shared" si="3"/>
        <v>-3.4645167652859965E-2</v>
      </c>
      <c r="AO41">
        <f t="shared" si="3"/>
        <v>-7.8294878427310755E-3</v>
      </c>
      <c r="AP41">
        <f t="shared" si="3"/>
        <v>-2.9524654832340236E-3</v>
      </c>
      <c r="AQ41">
        <f t="shared" si="3"/>
        <v>-2.9586785009861005E-2</v>
      </c>
      <c r="AR41">
        <f t="shared" si="3"/>
        <v>1.0057988165680931E-2</v>
      </c>
      <c r="AS41">
        <f t="shared" si="3"/>
        <v>-1.0976528599605073E-2</v>
      </c>
      <c r="AT41">
        <f t="shared" si="3"/>
        <v>2.5885049146404993E-2</v>
      </c>
      <c r="AU41">
        <f t="shared" si="3"/>
        <v>0</v>
      </c>
      <c r="AV41" s="16">
        <f t="shared" si="2"/>
        <v>4.9486196177392666E-2</v>
      </c>
    </row>
    <row r="42" spans="17:48" ht="15.75" thickBot="1" x14ac:dyDescent="0.3">
      <c r="Q42" s="17" t="s">
        <v>11</v>
      </c>
      <c r="R42" s="18">
        <f>AVERAGE(T32:AT34, T40:AT42)</f>
        <v>2.0829109313875476E-2</v>
      </c>
      <c r="T42">
        <f t="shared" si="1"/>
        <v>5.7823370110330896E-2</v>
      </c>
      <c r="U42">
        <f t="shared" si="3"/>
        <v>6.5142828485460047E-2</v>
      </c>
      <c r="V42">
        <f t="shared" si="3"/>
        <v>-8.155506519558009E-2</v>
      </c>
      <c r="W42">
        <f t="shared" si="3"/>
        <v>0.63268449283059014</v>
      </c>
      <c r="X42">
        <f t="shared" si="3"/>
        <v>6.9712236710131048E-2</v>
      </c>
      <c r="Y42">
        <f t="shared" si="3"/>
        <v>0.11036409227683097</v>
      </c>
      <c r="Z42">
        <f t="shared" si="3"/>
        <v>-3.9668004012030078E-3</v>
      </c>
      <c r="AA42">
        <f t="shared" si="3"/>
        <v>-0.34326278836509005</v>
      </c>
      <c r="AB42" s="26">
        <f t="shared" si="3"/>
        <v>-0.11336006372809004</v>
      </c>
      <c r="AC42">
        <f t="shared" si="3"/>
        <v>-4.2811835506519014E-2</v>
      </c>
      <c r="AD42">
        <f t="shared" si="3"/>
        <v>-1.3323871614844052E-2</v>
      </c>
      <c r="AE42">
        <f t="shared" si="3"/>
        <v>-6.1506619859577949E-2</v>
      </c>
      <c r="AF42">
        <f t="shared" si="3"/>
        <v>-8.1351513542219034E-2</v>
      </c>
      <c r="AG42">
        <f t="shared" si="3"/>
        <v>1.8562688064192923E-2</v>
      </c>
      <c r="AH42">
        <f t="shared" si="3"/>
        <v>3.9295887662990081E-3</v>
      </c>
      <c r="AI42">
        <f t="shared" si="3"/>
        <v>3.7568706118355943E-2</v>
      </c>
      <c r="AJ42">
        <f t="shared" si="3"/>
        <v>-3.3469709127381897E-2</v>
      </c>
      <c r="AK42" s="26">
        <f t="shared" si="3"/>
        <v>-5.9052522570365973E-2</v>
      </c>
      <c r="AL42">
        <f t="shared" si="3"/>
        <v>-1.7486459378133978E-2</v>
      </c>
      <c r="AM42">
        <f t="shared" si="3"/>
        <v>-3.0849548645930369E-3</v>
      </c>
      <c r="AN42">
        <f t="shared" si="3"/>
        <v>-9.6000000000000529E-3</v>
      </c>
      <c r="AO42">
        <f t="shared" si="3"/>
        <v>-9.000000000000008E-3</v>
      </c>
      <c r="AP42">
        <f t="shared" si="3"/>
        <v>-2.9714142427279544E-3</v>
      </c>
      <c r="AQ42">
        <f t="shared" si="3"/>
        <v>-1.9780441323971942E-2</v>
      </c>
      <c r="AR42">
        <f t="shared" si="3"/>
        <v>4.025576730191105E-3</v>
      </c>
      <c r="AS42">
        <f t="shared" si="3"/>
        <v>-1.7595486459378029E-2</v>
      </c>
      <c r="AT42">
        <f t="shared" si="3"/>
        <v>-1.0906797663302936E-2</v>
      </c>
      <c r="AU42">
        <f t="shared" si="3"/>
        <v>0</v>
      </c>
      <c r="AV42" s="16">
        <f t="shared" si="2"/>
        <v>2.8047124536815936E-3</v>
      </c>
    </row>
    <row r="43" spans="17:48" ht="15.75" thickBot="1" x14ac:dyDescent="0.3">
      <c r="Q43" s="19" t="s">
        <v>23</v>
      </c>
      <c r="R43" s="20">
        <f>AVERAGE(T35:AT35, T37:AT37,T43:AT43)</f>
        <v>3.5488052219840374E-2</v>
      </c>
      <c r="T43">
        <f t="shared" si="1"/>
        <v>-0.31340609695152</v>
      </c>
      <c r="U43">
        <f t="shared" si="3"/>
        <v>9.1997701149430178E-2</v>
      </c>
      <c r="V43">
        <f t="shared" si="3"/>
        <v>-0.58330189905047014</v>
      </c>
      <c r="W43">
        <f t="shared" si="3"/>
        <v>0.34834337831085005</v>
      </c>
      <c r="X43">
        <f t="shared" si="3"/>
        <v>-5.3990254872559929E-2</v>
      </c>
      <c r="Y43">
        <f t="shared" si="3"/>
        <v>6.6908495752129982E-2</v>
      </c>
      <c r="Z43">
        <f t="shared" si="3"/>
        <v>0.25882548725637999</v>
      </c>
      <c r="AA43">
        <f t="shared" si="3"/>
        <v>-0.17792653673162995</v>
      </c>
      <c r="AB43" s="26">
        <f t="shared" si="3"/>
        <v>0.68747021489255999</v>
      </c>
      <c r="AC43">
        <f t="shared" si="3"/>
        <v>-1.1467216391804036E-2</v>
      </c>
      <c r="AD43">
        <f t="shared" si="3"/>
        <v>2.853328335832106E-2</v>
      </c>
      <c r="AE43">
        <f t="shared" si="3"/>
        <v>8.1325337331339398E-3</v>
      </c>
      <c r="AF43">
        <f t="shared" si="3"/>
        <v>2.8434282858570969E-2</v>
      </c>
      <c r="AG43">
        <f t="shared" si="3"/>
        <v>4.6351824087997873E-4</v>
      </c>
      <c r="AH43">
        <f t="shared" si="3"/>
        <v>1.5738030984507989E-2</v>
      </c>
      <c r="AI43">
        <f t="shared" si="3"/>
        <v>3.194402798600704E-2</v>
      </c>
      <c r="AJ43">
        <f t="shared" si="3"/>
        <v>3.4338030984507939E-2</v>
      </c>
      <c r="AK43" s="26">
        <f t="shared" si="3"/>
        <v>3.2942278860569996E-2</v>
      </c>
      <c r="AL43">
        <f t="shared" si="3"/>
        <v>-1.0374812593705318E-4</v>
      </c>
      <c r="AM43">
        <f t="shared" si="3"/>
        <v>-6.0024987506239746E-3</v>
      </c>
      <c r="AN43">
        <f t="shared" si="3"/>
        <v>-6.1007496251870297E-3</v>
      </c>
      <c r="AO43">
        <f t="shared" si="3"/>
        <v>4.7942528735639423E-3</v>
      </c>
      <c r="AP43">
        <f t="shared" si="3"/>
        <v>4.9952523738140409E-3</v>
      </c>
      <c r="AQ43">
        <f t="shared" si="3"/>
        <v>9.1935032483759782E-3</v>
      </c>
      <c r="AR43">
        <f t="shared" si="3"/>
        <v>2.9925037481259853E-3</v>
      </c>
      <c r="AS43">
        <f t="shared" si="3"/>
        <v>2.7955022488760362E-3</v>
      </c>
      <c r="AT43">
        <f t="shared" si="3"/>
        <v>1.638775612193899E-2</v>
      </c>
      <c r="AU43">
        <f t="shared" si="3"/>
        <v>0</v>
      </c>
      <c r="AV43" s="16">
        <f t="shared" si="2"/>
        <v>1.9367816091955998E-2</v>
      </c>
    </row>
    <row r="44" spans="17:48" ht="15.75" thickBot="1" x14ac:dyDescent="0.3">
      <c r="Q44" s="19" t="s">
        <v>31</v>
      </c>
      <c r="R44" s="20">
        <f>AVERAGE(T38:AT39)</f>
        <v>6.7879079199503631E-2</v>
      </c>
      <c r="T44">
        <f t="shared" si="1"/>
        <v>-0.44325670103092696</v>
      </c>
      <c r="U44">
        <f t="shared" si="3"/>
        <v>-0.52575670103092698</v>
      </c>
      <c r="V44">
        <f t="shared" si="3"/>
        <v>0.32989587628865996</v>
      </c>
      <c r="W44">
        <f t="shared" si="3"/>
        <v>-0.175241237113402</v>
      </c>
      <c r="X44">
        <f t="shared" si="3"/>
        <v>-0.144298969072164</v>
      </c>
      <c r="Y44">
        <f t="shared" si="3"/>
        <v>-0.37115670103092696</v>
      </c>
      <c r="Z44">
        <f t="shared" si="3"/>
        <v>-0.5257752577319581</v>
      </c>
      <c r="AA44">
        <f t="shared" si="3"/>
        <v>9.2777319587628998E-2</v>
      </c>
      <c r="AB44" s="26">
        <f t="shared" si="3"/>
        <v>-0.10312268041237099</v>
      </c>
      <c r="AC44">
        <f t="shared" si="3"/>
        <v>3.0897938144330006E-2</v>
      </c>
      <c r="AD44">
        <f t="shared" si="3"/>
        <v>-4.845360824701217E-5</v>
      </c>
      <c r="AE44">
        <f t="shared" si="3"/>
        <v>3.0888659793814985E-2</v>
      </c>
      <c r="AF44">
        <f t="shared" si="3"/>
        <v>2.0588659793815009E-2</v>
      </c>
      <c r="AG44">
        <f t="shared" si="3"/>
        <v>-3.0957731958761975E-2</v>
      </c>
      <c r="AH44">
        <f t="shared" si="3"/>
        <v>-2.0620618556700998E-2</v>
      </c>
      <c r="AI44">
        <f t="shared" si="3"/>
        <v>1.0260824742268998E-2</v>
      </c>
      <c r="AJ44">
        <f t="shared" si="3"/>
        <v>2.0607216494846009E-2</v>
      </c>
      <c r="AK44" s="26">
        <f t="shared" si="3"/>
        <v>-1.0339175257730981E-2</v>
      </c>
      <c r="AL44">
        <f t="shared" si="3"/>
        <v>-4.1241237113401996E-2</v>
      </c>
      <c r="AM44">
        <f t="shared" si="3"/>
        <v>-1.0350515463916965E-2</v>
      </c>
      <c r="AN44">
        <f t="shared" si="3"/>
        <v>-2.0622680412371003E-2</v>
      </c>
      <c r="AO44">
        <f t="shared" si="3"/>
        <v>4.9484536082999853E-5</v>
      </c>
      <c r="AP44">
        <f t="shared" si="3"/>
        <v>-1.0304123711340013E-2</v>
      </c>
      <c r="AQ44">
        <f t="shared" si="3"/>
        <v>-1.0285567010308999E-2</v>
      </c>
      <c r="AR44">
        <f t="shared" si="3"/>
        <v>-3.0922680412371006E-2</v>
      </c>
      <c r="AS44">
        <f t="shared" si="3"/>
        <v>-1.0304123711340013E-2</v>
      </c>
      <c r="AT44">
        <f t="shared" si="3"/>
        <v>3.0977319587628976E-2</v>
      </c>
      <c r="AU44">
        <f t="shared" si="3"/>
        <v>0</v>
      </c>
      <c r="AV44" s="16">
        <f t="shared" si="2"/>
        <v>-7.1024513172966333E-2</v>
      </c>
    </row>
    <row r="45" spans="17:48" ht="15.75" thickBot="1" x14ac:dyDescent="0.3">
      <c r="Q45" s="21" t="s">
        <v>26</v>
      </c>
      <c r="R45" s="22">
        <f>AVERAGE(T36:AT36, T44:AT45)</f>
        <v>-3.9567423874010278E-2</v>
      </c>
      <c r="T45">
        <f t="shared" si="1"/>
        <v>-0.37115463917525704</v>
      </c>
      <c r="U45">
        <f t="shared" si="3"/>
        <v>-0.257738144329896</v>
      </c>
      <c r="V45">
        <f t="shared" si="3"/>
        <v>-0.14428762886597901</v>
      </c>
      <c r="W45">
        <f t="shared" si="3"/>
        <v>-0.10308762886597903</v>
      </c>
      <c r="X45">
        <f t="shared" si="3"/>
        <v>-0.309252577319587</v>
      </c>
      <c r="Y45">
        <f t="shared" si="3"/>
        <v>-0.309291752577319</v>
      </c>
      <c r="Z45">
        <f t="shared" si="3"/>
        <v>-0.20616391752577301</v>
      </c>
      <c r="AA45">
        <f t="shared" si="3"/>
        <v>-0.27838969072164899</v>
      </c>
      <c r="AB45" s="26">
        <f t="shared" si="3"/>
        <v>-5.1496907216494026E-2</v>
      </c>
      <c r="AC45">
        <f t="shared" si="3"/>
        <v>-4.1211340206184999E-2</v>
      </c>
      <c r="AD45">
        <f t="shared" si="3"/>
        <v>-4.1267010309277985E-2</v>
      </c>
      <c r="AE45">
        <f t="shared" si="3"/>
        <v>4.1207216494846016E-2</v>
      </c>
      <c r="AF45">
        <f t="shared" si="3"/>
        <v>2.0625773195876301E-2</v>
      </c>
      <c r="AG45">
        <f t="shared" si="3"/>
        <v>-2.0592783505153991E-2</v>
      </c>
      <c r="AH45">
        <f t="shared" si="3"/>
        <v>-1.0283505154639092E-2</v>
      </c>
      <c r="AI45">
        <f t="shared" si="3"/>
        <v>-3.0967010309278009E-2</v>
      </c>
      <c r="AJ45">
        <f t="shared" si="3"/>
        <v>4.1216494845360913E-2</v>
      </c>
      <c r="AK45" s="26">
        <f t="shared" si="3"/>
        <v>5.1516494845360916E-2</v>
      </c>
      <c r="AL45">
        <f t="shared" si="3"/>
        <v>-3.0957731958761975E-2</v>
      </c>
      <c r="AM45">
        <f t="shared" si="3"/>
        <v>3.0905154639176008E-2</v>
      </c>
      <c r="AN45">
        <f t="shared" si="3"/>
        <v>1.4432989691004483E-5</v>
      </c>
      <c r="AO45">
        <f t="shared" si="3"/>
        <v>4.1242268041238012E-2</v>
      </c>
      <c r="AP45">
        <f t="shared" si="3"/>
        <v>1.0332989690721994E-2</v>
      </c>
      <c r="AQ45">
        <f t="shared" si="3"/>
        <v>4.1223711340206998E-2</v>
      </c>
      <c r="AR45">
        <f t="shared" si="3"/>
        <v>-3.0922680412371006E-2</v>
      </c>
      <c r="AS45">
        <f t="shared" si="3"/>
        <v>-6.190412371134002E-2</v>
      </c>
      <c r="AT45">
        <f t="shared" si="3"/>
        <v>1.0305154639176001E-2</v>
      </c>
      <c r="AU45">
        <f t="shared" si="3"/>
        <v>0</v>
      </c>
      <c r="AV45" s="16">
        <f t="shared" si="2"/>
        <v>-7.4458495609010564E-2</v>
      </c>
    </row>
    <row r="46" spans="17:48" x14ac:dyDescent="0.25">
      <c r="T46">
        <f t="shared" si="1"/>
        <v>0</v>
      </c>
      <c r="U46">
        <f t="shared" si="3"/>
        <v>0</v>
      </c>
      <c r="V46">
        <f t="shared" si="3"/>
        <v>0</v>
      </c>
      <c r="W46">
        <f t="shared" si="3"/>
        <v>0</v>
      </c>
      <c r="X46">
        <f t="shared" si="3"/>
        <v>0</v>
      </c>
      <c r="Y46">
        <f t="shared" si="3"/>
        <v>0</v>
      </c>
      <c r="Z46">
        <f t="shared" si="3"/>
        <v>0</v>
      </c>
      <c r="AA46">
        <f t="shared" si="3"/>
        <v>0</v>
      </c>
      <c r="AB46" s="26">
        <f t="shared" si="3"/>
        <v>0</v>
      </c>
      <c r="AC46">
        <f t="shared" si="3"/>
        <v>0</v>
      </c>
      <c r="AD46">
        <f t="shared" si="3"/>
        <v>0</v>
      </c>
      <c r="AE46">
        <f t="shared" si="3"/>
        <v>0</v>
      </c>
      <c r="AF46">
        <f t="shared" si="3"/>
        <v>0</v>
      </c>
      <c r="AG46">
        <f t="shared" si="3"/>
        <v>0</v>
      </c>
      <c r="AH46">
        <f t="shared" si="3"/>
        <v>0</v>
      </c>
      <c r="AI46">
        <f t="shared" si="3"/>
        <v>0</v>
      </c>
      <c r="AJ46">
        <f t="shared" si="3"/>
        <v>0</v>
      </c>
      <c r="AK46">
        <f t="shared" si="3"/>
        <v>0</v>
      </c>
      <c r="AL46">
        <f t="shared" si="3"/>
        <v>0</v>
      </c>
      <c r="AM46">
        <f t="shared" si="3"/>
        <v>0</v>
      </c>
      <c r="AN46">
        <f t="shared" si="3"/>
        <v>0</v>
      </c>
      <c r="AO46">
        <f t="shared" si="3"/>
        <v>0</v>
      </c>
      <c r="AP46">
        <f t="shared" si="3"/>
        <v>0</v>
      </c>
      <c r="AQ46">
        <f t="shared" si="3"/>
        <v>0</v>
      </c>
      <c r="AR46">
        <f t="shared" si="3"/>
        <v>0</v>
      </c>
      <c r="AS46">
        <f t="shared" si="3"/>
        <v>0</v>
      </c>
      <c r="AT46">
        <f t="shared" si="3"/>
        <v>0</v>
      </c>
      <c r="AU46">
        <f t="shared" si="3"/>
        <v>0</v>
      </c>
    </row>
    <row r="48" spans="17:48" ht="15.75" thickBot="1" x14ac:dyDescent="0.3"/>
    <row r="49" spans="20:28" ht="27" thickBot="1" x14ac:dyDescent="0.3">
      <c r="T49" s="9" t="s">
        <v>48</v>
      </c>
      <c r="U49" s="9" t="s">
        <v>49</v>
      </c>
      <c r="V49" s="9" t="s">
        <v>50</v>
      </c>
      <c r="W49" s="9" t="s">
        <v>51</v>
      </c>
      <c r="X49" s="9" t="s">
        <v>52</v>
      </c>
      <c r="Y49" s="9" t="s">
        <v>53</v>
      </c>
      <c r="Z49" s="9" t="s">
        <v>54</v>
      </c>
      <c r="AA49" s="9" t="s">
        <v>55</v>
      </c>
      <c r="AB49" s="9" t="s">
        <v>56</v>
      </c>
    </row>
    <row r="50" spans="20:28" ht="15.75" thickTop="1" x14ac:dyDescent="0.25">
      <c r="T50">
        <f>AVERAGE(T32:T45, AC32:AC45, AL32:AL45)</f>
        <v>-4.7076550143901864E-2</v>
      </c>
      <c r="U50">
        <f>AVERAGE(U32:U45, AD32:AD45, AM32:AM45)</f>
        <v>3.5444753337632168E-3</v>
      </c>
      <c r="V50">
        <f>AVERAGE(V32:V45, AE32:AE45, AN32:AN45)</f>
        <v>-2.9997068662585093E-2</v>
      </c>
      <c r="W50">
        <f>AVERAGE(W32:W45, AF32:AF45, AO32:AO45)</f>
        <v>5.8051420425808922E-2</v>
      </c>
      <c r="X50">
        <f>AVERAGE(X32:X45, AG32:AG45, AP32:AP45)</f>
        <v>-5.2224382427729851E-3</v>
      </c>
      <c r="Y50">
        <f>AVERAGE(Y32:Y45, AH32:AH45, AQ32:AQ45)</f>
        <v>1.3490054407784094E-2</v>
      </c>
      <c r="Z50">
        <f>AVERAGE(Z32:Z45, AI32:AI45, AR32:AR45)</f>
        <v>3.9970493139020701E-2</v>
      </c>
      <c r="AA50">
        <f>AVERAGE(AA32:AA45, AJ32:AJ45, AS32:AS45)</f>
        <v>2.3704452569299991E-3</v>
      </c>
      <c r="AB50">
        <f>AVERAGE(AB32:AB45, AK32:AK45, AT32:AT45)</f>
        <v>0.1246157609057926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3B37AAB-B6DC-4F6F-8CC4-FAB9EA88838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cer</vt:lpstr>
      <vt:lpstr>wer</vt:lpstr>
      <vt:lpstr>HunDys</vt:lpstr>
      <vt:lpstr>Eredmeny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Seregély Dominik</dc:creator>
  <cp:lastModifiedBy>Dominik Seregély</cp:lastModifiedBy>
  <dcterms:created xsi:type="dcterms:W3CDTF">2015-06-05T18:19:34Z</dcterms:created>
  <dcterms:modified xsi:type="dcterms:W3CDTF">2026-01-25T12:09:54Z</dcterms:modified>
</cp:coreProperties>
</file>